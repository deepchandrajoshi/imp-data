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ep\Documents\"/>
    </mc:Choice>
  </mc:AlternateContent>
  <xr:revisionPtr revIDLastSave="0" documentId="13_ncr:1_{C265D20B-9D3F-499F-8C16-38F63B521AD4}" xr6:coauthVersionLast="47" xr6:coauthVersionMax="47" xr10:uidLastSave="{00000000-0000-0000-0000-000000000000}"/>
  <bookViews>
    <workbookView xWindow="-120" yWindow="-120" windowWidth="20730" windowHeight="11160" tabRatio="905" firstSheet="7" activeTab="9" xr2:uid="{3013BECC-1F1C-417F-BB01-704D3CC91672}"/>
  </bookViews>
  <sheets>
    <sheet name="Shortcuts" sheetId="10" r:id="rId1"/>
    <sheet name="Basics" sheetId="1" r:id="rId2"/>
    <sheet name="Basic Calculation" sheetId="9" r:id="rId3"/>
    <sheet name="Time &amp; Date" sheetId="3" r:id="rId4"/>
    <sheet name="SUMIF &amp; SUMIFS" sheetId="4" r:id="rId5"/>
    <sheet name="CountIF &amp; CountIFS" sheetId="6" r:id="rId6"/>
    <sheet name="LOOKUP AND REFERENCE" sheetId="7" r:id="rId7"/>
    <sheet name="Data Validation" sheetId="11" r:id="rId8"/>
    <sheet name="INDEX &amp; MATCH" sheetId="14" r:id="rId9"/>
    <sheet name="Conditional Formatting" sheetId="12" r:id="rId10"/>
    <sheet name="TEXT" sheetId="8" r:id="rId11"/>
    <sheet name="MIX" sheetId="13" r:id="rId12"/>
    <sheet name="Pivot Tables &amp; Pivot Charts" sheetId="15" r:id="rId13"/>
    <sheet name="NOTES" sheetId="16" r:id="rId14"/>
    <sheet name="Filter &amp; Sort Formula" sheetId="17" r:id="rId15"/>
  </sheets>
  <externalReferences>
    <externalReference r:id="rId16"/>
  </externalReferences>
  <definedNames>
    <definedName name="_xlnm._FilterDatabase" localSheetId="2" hidden="1">'Basic Calculation'!$A$1:$D$7</definedName>
    <definedName name="_xlnm._FilterDatabase" localSheetId="9" hidden="1">'Conditional Formatting'!$G$1:$G$38</definedName>
    <definedName name="lst_Fruit">[1]!tbl_Fruit[Fruit]</definedName>
    <definedName name="SalesTax">0.0825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5" i="17" l="1" a="1"/>
  <c r="L25" i="17" s="1"/>
  <c r="L16" i="17" a="1"/>
  <c r="L16" i="17" s="1"/>
  <c r="L4" i="17" a="1"/>
  <c r="L4" i="17" s="1"/>
  <c r="G2" i="17"/>
  <c r="G3" i="17"/>
  <c r="G4" i="17"/>
  <c r="G5" i="17"/>
  <c r="G6" i="17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34" i="17"/>
  <c r="G35" i="17"/>
  <c r="K14" i="14"/>
  <c r="K18" i="14"/>
  <c r="K17" i="14"/>
  <c r="K13" i="14"/>
  <c r="K10" i="14"/>
  <c r="K9" i="14"/>
  <c r="K5" i="14"/>
  <c r="K4" i="14"/>
  <c r="C17" i="13"/>
  <c r="C16" i="13"/>
  <c r="C15" i="13"/>
  <c r="C14" i="13"/>
  <c r="C13" i="13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" i="12"/>
  <c r="G4" i="12"/>
  <c r="G5" i="12"/>
  <c r="G6" i="12"/>
  <c r="G7" i="12"/>
  <c r="G2" i="12"/>
  <c r="K7" i="11"/>
  <c r="K9" i="11"/>
  <c r="B9" i="3"/>
  <c r="B18" i="7"/>
  <c r="D8" i="9"/>
  <c r="D7" i="9"/>
  <c r="F4" i="3"/>
  <c r="D2" i="8"/>
  <c r="C2" i="8"/>
  <c r="E8" i="7"/>
  <c r="B8" i="7"/>
  <c r="K11" i="4"/>
  <c r="F16" i="6"/>
  <c r="B16" i="6"/>
  <c r="F16" i="4"/>
  <c r="B16" i="4"/>
  <c r="B6" i="3"/>
  <c r="K11" i="1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<sst xmlns="http://schemas.openxmlformats.org/spreadsheetml/2006/main" count="747" uniqueCount="286">
  <si>
    <t>Business Analyst</t>
  </si>
  <si>
    <t>Daily Hours Worked</t>
  </si>
  <si>
    <t>Time In:</t>
  </si>
  <si>
    <t>Lunch Out:</t>
  </si>
  <si>
    <t>Lunch In:</t>
  </si>
  <si>
    <t>Time Out:</t>
  </si>
  <si>
    <t>Total Hours:</t>
  </si>
  <si>
    <t>Item</t>
  </si>
  <si>
    <t>Quantity</t>
  </si>
  <si>
    <t>Cost</t>
  </si>
  <si>
    <t>Total</t>
  </si>
  <si>
    <t>Widget</t>
  </si>
  <si>
    <t>Doohickey</t>
  </si>
  <si>
    <t>Sub-Total</t>
  </si>
  <si>
    <t>Sales Tax?</t>
  </si>
  <si>
    <t>Yes</t>
  </si>
  <si>
    <t>Shipping?</t>
  </si>
  <si>
    <t>(Format Cell- Time</t>
  </si>
  <si>
    <t>(Format Cell- Time)</t>
  </si>
  <si>
    <t>Fruit</t>
  </si>
  <si>
    <t>Amount</t>
  </si>
  <si>
    <t>Type</t>
  </si>
  <si>
    <t>Apples</t>
  </si>
  <si>
    <t>Fuji</t>
  </si>
  <si>
    <t>Oranges</t>
  </si>
  <si>
    <t>Florida</t>
  </si>
  <si>
    <t>Bananas</t>
  </si>
  <si>
    <t>Cavendish</t>
  </si>
  <si>
    <t>Lemons</t>
  </si>
  <si>
    <t>Rough</t>
  </si>
  <si>
    <t>Honeycrisp</t>
  </si>
  <si>
    <t>Navel</t>
  </si>
  <si>
    <t>Lady Finger</t>
  </si>
  <si>
    <t>Eureka</t>
  </si>
  <si>
    <t>SUMIF</t>
  </si>
  <si>
    <t>SUMIFS</t>
  </si>
  <si>
    <t>COUNTIF</t>
  </si>
  <si>
    <t>COUNTIFS</t>
  </si>
  <si>
    <t>Bread</t>
  </si>
  <si>
    <t>Donuts</t>
  </si>
  <si>
    <t>Cookies</t>
  </si>
  <si>
    <t>Cakes</t>
  </si>
  <si>
    <t>Pies</t>
  </si>
  <si>
    <t>Sumifs with Condition</t>
  </si>
  <si>
    <t xml:space="preserve">VLOOKUP is one of the most widely used functions in Excel (and one of our favorites too!). VLOOKUP lets you look up a value in a column on the left, then returns information in another column to the right if it finds a match. </t>
  </si>
  <si>
    <t>WHAT IS VLOOKUP?</t>
  </si>
  <si>
    <t>First Name</t>
  </si>
  <si>
    <t>Last Name</t>
  </si>
  <si>
    <t>Last Name, First Name</t>
  </si>
  <si>
    <t>Full Name</t>
  </si>
  <si>
    <t>Nancy</t>
  </si>
  <si>
    <t>Smith</t>
  </si>
  <si>
    <t>Andy</t>
  </si>
  <si>
    <t>North</t>
  </si>
  <si>
    <t>Jan</t>
  </si>
  <si>
    <t>Kotas</t>
  </si>
  <si>
    <t>Mariya</t>
  </si>
  <si>
    <t>Jones</t>
  </si>
  <si>
    <t>Steven</t>
  </si>
  <si>
    <t>Thorpe</t>
  </si>
  <si>
    <t>Michael</t>
  </si>
  <si>
    <t>Neipper</t>
  </si>
  <si>
    <t>Robert</t>
  </si>
  <si>
    <t>Zare</t>
  </si>
  <si>
    <t>Yvonne</t>
  </si>
  <si>
    <t>McKay</t>
  </si>
  <si>
    <t>CNTL+1</t>
  </si>
  <si>
    <t>Date functions</t>
  </si>
  <si>
    <t>Today's date:</t>
  </si>
  <si>
    <t>Your birthday:</t>
  </si>
  <si>
    <t>Days until your birthday:</t>
  </si>
  <si>
    <t>Grace period days:</t>
  </si>
  <si>
    <t>Bill due on:</t>
  </si>
  <si>
    <t>Deep</t>
  </si>
  <si>
    <t>Arjun</t>
  </si>
  <si>
    <t>Date</t>
  </si>
  <si>
    <t>Executive</t>
  </si>
  <si>
    <t>Region</t>
  </si>
  <si>
    <t>Sales</t>
  </si>
  <si>
    <t>Amit</t>
  </si>
  <si>
    <t>Neha</t>
  </si>
  <si>
    <t>South</t>
  </si>
  <si>
    <t>Rahul</t>
  </si>
  <si>
    <t>East</t>
  </si>
  <si>
    <t>SUM=</t>
  </si>
  <si>
    <t>SUBTOTAL=</t>
  </si>
  <si>
    <t>SUM AND SUBTOTAL</t>
  </si>
  <si>
    <t>SUM adds all values in a range, while SUBTOTAL adds only visible values and ignores filtered or hidden rows.</t>
  </si>
  <si>
    <t>Name</t>
  </si>
  <si>
    <t>Feb</t>
  </si>
  <si>
    <t>Mar</t>
  </si>
  <si>
    <t>Apr</t>
  </si>
  <si>
    <t>Nam</t>
  </si>
  <si>
    <t>HLOOKUP</t>
  </si>
  <si>
    <t>HLOOKUP is one of the commonly used functions in Excel. HLOOKUP lets you look up a value in a row at the top, then returns information from another row below if it finds a match.</t>
  </si>
  <si>
    <t>WHAT IS HLOOKUP?</t>
  </si>
  <si>
    <t>XLOOKUP</t>
  </si>
  <si>
    <t>Emp ID</t>
  </si>
  <si>
    <t>Status</t>
  </si>
  <si>
    <t>Employee 1</t>
  </si>
  <si>
    <t>Present</t>
  </si>
  <si>
    <t>Employee 2</t>
  </si>
  <si>
    <t>Employee 3</t>
  </si>
  <si>
    <t>Employee 4</t>
  </si>
  <si>
    <t>Practice:</t>
  </si>
  <si>
    <t>Employee 5</t>
  </si>
  <si>
    <t>Apsent</t>
  </si>
  <si>
    <t>Data Validation (Present/Absent dropdown)</t>
  </si>
  <si>
    <t>Employee 6</t>
  </si>
  <si>
    <t>Conditional Formatting</t>
  </si>
  <si>
    <t>Employee 7</t>
  </si>
  <si>
    <t>Remove duplicates</t>
  </si>
  <si>
    <t>Employee 8</t>
  </si>
  <si>
    <t>Employee 9</t>
  </si>
  <si>
    <t>Employee 10</t>
  </si>
  <si>
    <t xml:space="preserve">Duplicate </t>
  </si>
  <si>
    <t>Neeraj</t>
  </si>
  <si>
    <t>Prakash</t>
  </si>
  <si>
    <t>Home -&gt; Conditional Formatting</t>
  </si>
  <si>
    <t>Data -&gt; Data Tool -&gt; Data Validation</t>
  </si>
  <si>
    <t>Data -&gt; Data Tool -&gt; Remove Duplicate</t>
  </si>
  <si>
    <t>Transaction_ID</t>
  </si>
  <si>
    <t>Product</t>
  </si>
  <si>
    <t>Units_Sold</t>
  </si>
  <si>
    <t>Customer_Name</t>
  </si>
  <si>
    <t>Price_Per_Unit</t>
  </si>
  <si>
    <t>Total_Sales</t>
  </si>
  <si>
    <t>City</t>
  </si>
  <si>
    <t>T001</t>
  </si>
  <si>
    <t>Webcam</t>
  </si>
  <si>
    <t>Keyboard</t>
  </si>
  <si>
    <t>Mouse</t>
  </si>
  <si>
    <t>Headphone</t>
  </si>
  <si>
    <t>Tablet</t>
  </si>
  <si>
    <t>Laptop</t>
  </si>
  <si>
    <t>Delhi</t>
  </si>
  <si>
    <t>Pune</t>
  </si>
  <si>
    <t>Hydrabad</t>
  </si>
  <si>
    <t>Almora</t>
  </si>
  <si>
    <t>Mumbai</t>
  </si>
  <si>
    <t>Bengaluru</t>
  </si>
  <si>
    <t>T002</t>
  </si>
  <si>
    <t>T003</t>
  </si>
  <si>
    <t>T004</t>
  </si>
  <si>
    <t>T005</t>
  </si>
  <si>
    <t>T006</t>
  </si>
  <si>
    <t>T007</t>
  </si>
  <si>
    <t>T008</t>
  </si>
  <si>
    <t>T009</t>
  </si>
  <si>
    <t>T010</t>
  </si>
  <si>
    <t>T011</t>
  </si>
  <si>
    <t>T012</t>
  </si>
  <si>
    <t>T013</t>
  </si>
  <si>
    <t>T014</t>
  </si>
  <si>
    <t>T015</t>
  </si>
  <si>
    <t>T016</t>
  </si>
  <si>
    <t>T017</t>
  </si>
  <si>
    <t>T018</t>
  </si>
  <si>
    <t>T019</t>
  </si>
  <si>
    <t>T020</t>
  </si>
  <si>
    <t>T021</t>
  </si>
  <si>
    <t>T022</t>
  </si>
  <si>
    <t>T023</t>
  </si>
  <si>
    <t>T024</t>
  </si>
  <si>
    <t>T025</t>
  </si>
  <si>
    <t>T026</t>
  </si>
  <si>
    <t>T027</t>
  </si>
  <si>
    <t>T028</t>
  </si>
  <si>
    <t>T029</t>
  </si>
  <si>
    <t>T030</t>
  </si>
  <si>
    <t>T031</t>
  </si>
  <si>
    <t>T032</t>
  </si>
  <si>
    <t>T033</t>
  </si>
  <si>
    <t>T034</t>
  </si>
  <si>
    <t>Neeraj Bisht</t>
  </si>
  <si>
    <t>Bhupender Singh</t>
  </si>
  <si>
    <t>Sushmita Sarkar</t>
  </si>
  <si>
    <t>Tarun Dixit</t>
  </si>
  <si>
    <t>Mohit Kumar Chaudhary</t>
  </si>
  <si>
    <t>Inder Kumar</t>
  </si>
  <si>
    <t>Pushkar Chandra Sanwal</t>
  </si>
  <si>
    <t>Dilip Kumar</t>
  </si>
  <si>
    <t>Rohit Singh</t>
  </si>
  <si>
    <t>Dileep Tripathi</t>
  </si>
  <si>
    <t>Deepak Ghildiyal</t>
  </si>
  <si>
    <t>Aniket Rana</t>
  </si>
  <si>
    <t>Akash</t>
  </si>
  <si>
    <t>Hema Sharma</t>
  </si>
  <si>
    <t>Md Ubedulla</t>
  </si>
  <si>
    <t>Shah Alam</t>
  </si>
  <si>
    <t>Sachin</t>
  </si>
  <si>
    <t>Vipin Kumar</t>
  </si>
  <si>
    <t>Deep Chandra Joshi</t>
  </si>
  <si>
    <t>Mohd Fareed</t>
  </si>
  <si>
    <t>Renuka Kujur</t>
  </si>
  <si>
    <t>Karan Kumar</t>
  </si>
  <si>
    <t>Tannu</t>
  </si>
  <si>
    <t>Arun Kumar</t>
  </si>
  <si>
    <t>Prakash Kumar</t>
  </si>
  <si>
    <t>Tushant Yadav</t>
  </si>
  <si>
    <t>Sumit Sahgal</t>
  </si>
  <si>
    <t>Sachin Pratap Singh</t>
  </si>
  <si>
    <t>Ravi Kumar</t>
  </si>
  <si>
    <t>Rinki Negi</t>
  </si>
  <si>
    <t>Victor Raj</t>
  </si>
  <si>
    <t>Yogesh Kumar</t>
  </si>
  <si>
    <t>Bharat Shukla</t>
  </si>
  <si>
    <t>Shashank Mathur</t>
  </si>
  <si>
    <t>New Rule-&gt;Last One-&gt;$D2="Mouse" and Fill</t>
  </si>
  <si>
    <t>Conditional Formatting-&gt;</t>
  </si>
  <si>
    <t>Data Validation</t>
  </si>
  <si>
    <t>CountIF</t>
  </si>
  <si>
    <t>Counta</t>
  </si>
  <si>
    <t>Count</t>
  </si>
  <si>
    <t>Rows</t>
  </si>
  <si>
    <t>(Means 5th Row)</t>
  </si>
  <si>
    <t>Match</t>
  </si>
  <si>
    <t>Emp_ID</t>
  </si>
  <si>
    <t>Department</t>
  </si>
  <si>
    <t>Location</t>
  </si>
  <si>
    <t>Month</t>
  </si>
  <si>
    <t>Target</t>
  </si>
  <si>
    <t>Rating</t>
  </si>
  <si>
    <t>E001</t>
  </si>
  <si>
    <t>Rahul Sharma</t>
  </si>
  <si>
    <t>A</t>
  </si>
  <si>
    <t>E002</t>
  </si>
  <si>
    <t>Neha Verma</t>
  </si>
  <si>
    <t>B</t>
  </si>
  <si>
    <t>E003</t>
  </si>
  <si>
    <t>Amit Singh</t>
  </si>
  <si>
    <t>HR</t>
  </si>
  <si>
    <t>E004</t>
  </si>
  <si>
    <t>Priya Mehta</t>
  </si>
  <si>
    <t>IT</t>
  </si>
  <si>
    <t>E005</t>
  </si>
  <si>
    <t>Karan Patel</t>
  </si>
  <si>
    <t>Ahmedabad</t>
  </si>
  <si>
    <t>E006</t>
  </si>
  <si>
    <t>Ritu Gupta</t>
  </si>
  <si>
    <t>E007</t>
  </si>
  <si>
    <t>Mohit Jain</t>
  </si>
  <si>
    <t>E008</t>
  </si>
  <si>
    <t>Anjali Roy</t>
  </si>
  <si>
    <t>E009</t>
  </si>
  <si>
    <t>Suresh Yadav</t>
  </si>
  <si>
    <t>E010</t>
  </si>
  <si>
    <t>Pooja Nair</t>
  </si>
  <si>
    <t>E011</t>
  </si>
  <si>
    <t>Deepak Rao</t>
  </si>
  <si>
    <t>E012</t>
  </si>
  <si>
    <t>Kavita Shah</t>
  </si>
  <si>
    <t>E013</t>
  </si>
  <si>
    <t>Vikas Malhotra</t>
  </si>
  <si>
    <t>E014</t>
  </si>
  <si>
    <t>Simran Kaur</t>
  </si>
  <si>
    <t>E015</t>
  </si>
  <si>
    <t>Rohit Bansal</t>
  </si>
  <si>
    <t>E016</t>
  </si>
  <si>
    <t>Nidhi Jain</t>
  </si>
  <si>
    <t>E017</t>
  </si>
  <si>
    <t>Arjun Mehta</t>
  </si>
  <si>
    <t>May</t>
  </si>
  <si>
    <t>E018</t>
  </si>
  <si>
    <t>Meena Iyer</t>
  </si>
  <si>
    <t>E019</t>
  </si>
  <si>
    <t>Akash Verma</t>
  </si>
  <si>
    <t>E020</t>
  </si>
  <si>
    <t>Pallavi Desai</t>
  </si>
  <si>
    <t>1. Sales by Employee ID</t>
  </si>
  <si>
    <t>2. Department by Name</t>
  </si>
  <si>
    <t>INDEX</t>
  </si>
  <si>
    <t>MATCH</t>
  </si>
  <si>
    <t>Match E009 is in A2:A21</t>
  </si>
  <si>
    <t>Match Pooja Nair is in B2:A21</t>
  </si>
  <si>
    <t xml:space="preserve">Value of 5th Row in B2:B21 </t>
  </si>
  <si>
    <t xml:space="preserve">Value of 9th Row in B2:B21 </t>
  </si>
  <si>
    <t>Array Formulas</t>
  </si>
  <si>
    <t>Dynamic Array</t>
  </si>
  <si>
    <t>Filter</t>
  </si>
  <si>
    <t>Short</t>
  </si>
  <si>
    <t>Unique</t>
  </si>
  <si>
    <t>SORT WITH FILTER</t>
  </si>
  <si>
    <t>SORT</t>
  </si>
  <si>
    <t>FILTER</t>
  </si>
  <si>
    <t>Contact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</si>
</sst>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h:mm\ AM/PM;@"/>
    <numFmt numFmtId="165" formatCode="&quot;$&quot;#,##0.00_);[Red]\(&quot;$&quot;#,##0.00\)"/>
    <numFmt numFmtId="166" formatCode="mm/dd/yy;@"/>
    <numFmt numFmtId="167" formatCode="0.0"/>
  </numFmts>
  <fonts count="16" x14ac:knownFonts="1">
    <font>
      <sz val="11"/>
      <color theme="1"/>
      <name val="Calibri"/>
      <family val="2"/>
      <scheme val="minor"/>
    </font>
    <font>
      <b/>
      <sz val="28"/>
      <color rgb="FF7030A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3B3838"/>
      <name val="Segoe UI"/>
      <family val="2"/>
    </font>
    <font>
      <b/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ck">
        <color rgb="FFF4B183"/>
      </left>
      <right style="thick">
        <color rgb="FFF4B183"/>
      </right>
      <top style="thick">
        <color rgb="FFF4B183"/>
      </top>
      <bottom style="thick">
        <color rgb="FFF4B183"/>
      </bottom>
      <diagonal/>
    </border>
    <border>
      <left/>
      <right style="thick">
        <color rgb="FFF4B183"/>
      </right>
      <top style="thick">
        <color rgb="FFF4B183"/>
      </top>
      <bottom style="thick">
        <color rgb="FFF4B183"/>
      </bottom>
      <diagonal/>
    </border>
    <border>
      <left/>
      <right/>
      <top style="medium">
        <color theme="1"/>
      </top>
      <bottom/>
      <diagonal/>
    </border>
    <border>
      <left/>
      <right/>
      <top/>
      <bottom style="medium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9">
    <xf numFmtId="0" fontId="0" fillId="0" borderId="0"/>
    <xf numFmtId="0" fontId="5" fillId="3" borderId="0" applyNumberFormat="0" applyBorder="0" applyProtection="0"/>
    <xf numFmtId="0" fontId="2" fillId="4" borderId="0"/>
    <xf numFmtId="0" fontId="2" fillId="5" borderId="2"/>
    <xf numFmtId="0" fontId="2" fillId="4" borderId="5"/>
    <xf numFmtId="0" fontId="2" fillId="0" borderId="0"/>
    <xf numFmtId="0" fontId="2" fillId="4" borderId="0"/>
    <xf numFmtId="0" fontId="2" fillId="0" borderId="0"/>
    <xf numFmtId="0" fontId="2" fillId="4" borderId="5"/>
  </cellStyleXfs>
  <cellXfs count="77">
    <xf numFmtId="0" fontId="0" fillId="0" borderId="0" xfId="0"/>
    <xf numFmtId="0" fontId="0" fillId="0" borderId="1" xfId="0" applyBorder="1"/>
    <xf numFmtId="0" fontId="3" fillId="3" borderId="0" xfId="1" applyFont="1" applyAlignment="1">
      <alignment horizontal="centerContinuous"/>
    </xf>
    <xf numFmtId="0" fontId="2" fillId="4" borderId="3" xfId="2" applyBorder="1"/>
    <xf numFmtId="164" fontId="2" fillId="5" borderId="4" xfId="3" applyNumberFormat="1" applyBorder="1"/>
    <xf numFmtId="0" fontId="2" fillId="4" borderId="6" xfId="4" applyBorder="1"/>
    <xf numFmtId="0" fontId="3" fillId="3" borderId="7" xfId="1" applyFont="1" applyBorder="1" applyAlignment="1">
      <alignment horizontal="left" vertical="center"/>
    </xf>
    <xf numFmtId="0" fontId="3" fillId="3" borderId="7" xfId="1" applyFont="1" applyBorder="1" applyAlignment="1">
      <alignment horizontal="right" vertical="center"/>
    </xf>
    <xf numFmtId="0" fontId="0" fillId="6" borderId="7" xfId="0" applyFill="1" applyBorder="1" applyAlignment="1">
      <alignment vertical="center"/>
    </xf>
    <xf numFmtId="165" fontId="0" fillId="6" borderId="7" xfId="0" applyNumberFormat="1" applyFill="1" applyBorder="1" applyAlignment="1">
      <alignment vertical="center"/>
    </xf>
    <xf numFmtId="0" fontId="0" fillId="0" borderId="8" xfId="0" applyBorder="1" applyAlignment="1">
      <alignment vertical="center"/>
    </xf>
    <xf numFmtId="165" fontId="0" fillId="0" borderId="8" xfId="0" applyNumberFormat="1" applyBorder="1" applyAlignment="1">
      <alignment vertical="center"/>
    </xf>
    <xf numFmtId="0" fontId="0" fillId="0" borderId="0" xfId="0" applyAlignment="1">
      <alignment vertical="center"/>
    </xf>
    <xf numFmtId="165" fontId="0" fillId="0" borderId="0" xfId="0" applyNumberFormat="1" applyAlignment="1">
      <alignment vertical="center"/>
    </xf>
    <xf numFmtId="0" fontId="2" fillId="4" borderId="5" xfId="4" applyAlignment="1">
      <alignment horizontal="center" vertical="center"/>
    </xf>
    <xf numFmtId="165" fontId="2" fillId="5" borderId="2" xfId="3" applyNumberFormat="1" applyAlignment="1">
      <alignment vertical="center"/>
    </xf>
    <xf numFmtId="165" fontId="0" fillId="6" borderId="0" xfId="0" applyNumberFormat="1" applyFill="1" applyAlignment="1">
      <alignment vertical="center"/>
    </xf>
    <xf numFmtId="0" fontId="6" fillId="0" borderId="0" xfId="0" applyFont="1"/>
    <xf numFmtId="0" fontId="5" fillId="3" borderId="0" xfId="1"/>
    <xf numFmtId="0" fontId="5" fillId="3" borderId="0" xfId="1" applyAlignment="1">
      <alignment horizontal="right"/>
    </xf>
    <xf numFmtId="0" fontId="2" fillId="0" borderId="0" xfId="5" applyAlignment="1">
      <alignment horizontal="right"/>
    </xf>
    <xf numFmtId="0" fontId="2" fillId="4" borderId="3" xfId="2" applyBorder="1" applyAlignment="1">
      <alignment horizontal="right"/>
    </xf>
    <xf numFmtId="0" fontId="7" fillId="0" borderId="0" xfId="0" applyFont="1"/>
    <xf numFmtId="0" fontId="2" fillId="0" borderId="0" xfId="5" applyAlignment="1">
      <alignment horizontal="left"/>
    </xf>
    <xf numFmtId="0" fontId="4" fillId="0" borderId="0" xfId="5" applyFont="1" applyAlignment="1">
      <alignment horizontal="right"/>
    </xf>
    <xf numFmtId="0" fontId="2" fillId="4" borderId="5" xfId="4"/>
    <xf numFmtId="0" fontId="2" fillId="5" borderId="2" xfId="3" applyAlignment="1">
      <alignment horizontal="right" vertical="center"/>
    </xf>
    <xf numFmtId="0" fontId="2" fillId="5" borderId="2" xfId="3" applyAlignment="1">
      <alignment horizontal="right"/>
    </xf>
    <xf numFmtId="0" fontId="2" fillId="4" borderId="0" xfId="2"/>
    <xf numFmtId="0" fontId="2" fillId="4" borderId="0" xfId="2" applyAlignment="1">
      <alignment horizontal="right"/>
    </xf>
    <xf numFmtId="0" fontId="2" fillId="4" borderId="0" xfId="6"/>
    <xf numFmtId="0" fontId="2" fillId="0" borderId="0" xfId="7" applyAlignment="1">
      <alignment horizontal="left" indent="1"/>
    </xf>
    <xf numFmtId="0" fontId="2" fillId="4" borderId="5" xfId="8"/>
    <xf numFmtId="0" fontId="3" fillId="3" borderId="0" xfId="1" applyFont="1"/>
    <xf numFmtId="0" fontId="3" fillId="3" borderId="0" xfId="1" applyFont="1" applyAlignment="1">
      <alignment horizontal="right"/>
    </xf>
    <xf numFmtId="0" fontId="3" fillId="3" borderId="0" xfId="1" applyFont="1" applyAlignment="1">
      <alignment horizontal="left"/>
    </xf>
    <xf numFmtId="0" fontId="2" fillId="4" borderId="3" xfId="2" applyBorder="1" applyAlignment="1">
      <alignment horizontal="left"/>
    </xf>
    <xf numFmtId="0" fontId="2" fillId="4" borderId="5" xfId="4" applyAlignment="1">
      <alignment horizontal="left"/>
    </xf>
    <xf numFmtId="0" fontId="9" fillId="0" borderId="0" xfId="0" applyFont="1"/>
    <xf numFmtId="0" fontId="2" fillId="5" borderId="4" xfId="3" applyBorder="1"/>
    <xf numFmtId="0" fontId="2" fillId="5" borderId="2" xfId="3"/>
    <xf numFmtId="166" fontId="2" fillId="5" borderId="4" xfId="3" applyNumberFormat="1" applyBorder="1" applyAlignment="1">
      <alignment horizontal="right"/>
    </xf>
    <xf numFmtId="166" fontId="2" fillId="4" borderId="6" xfId="4" applyNumberFormat="1" applyBorder="1"/>
    <xf numFmtId="14" fontId="2" fillId="5" borderId="4" xfId="3" applyNumberFormat="1" applyBorder="1"/>
    <xf numFmtId="14" fontId="0" fillId="0" borderId="0" xfId="0" applyNumberFormat="1"/>
    <xf numFmtId="20" fontId="0" fillId="0" borderId="0" xfId="0" applyNumberFormat="1"/>
    <xf numFmtId="0" fontId="4" fillId="0" borderId="1" xfId="0" applyFont="1" applyBorder="1" applyAlignment="1">
      <alignment horizontal="center" vertical="center" wrapText="1"/>
    </xf>
    <xf numFmtId="16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8" borderId="0" xfId="0" applyFont="1" applyFill="1" applyAlignment="1">
      <alignment vertical="center" wrapText="1"/>
    </xf>
    <xf numFmtId="0" fontId="4" fillId="8" borderId="0" xfId="0" applyFont="1" applyFill="1"/>
    <xf numFmtId="0" fontId="12" fillId="9" borderId="1" xfId="0" applyFont="1" applyFill="1" applyBorder="1"/>
    <xf numFmtId="0" fontId="13" fillId="0" borderId="1" xfId="0" applyFont="1" applyBorder="1"/>
    <xf numFmtId="0" fontId="4" fillId="10" borderId="1" xfId="0" applyFont="1" applyFill="1" applyBorder="1"/>
    <xf numFmtId="0" fontId="4" fillId="7" borderId="1" xfId="0" applyFont="1" applyFill="1" applyBorder="1" applyAlignment="1">
      <alignment horizontal="left" vertical="center" indent="1"/>
    </xf>
    <xf numFmtId="0" fontId="13" fillId="0" borderId="9" xfId="0" applyFont="1" applyBorder="1"/>
    <xf numFmtId="0" fontId="0" fillId="0" borderId="0" xfId="0" applyAlignment="1">
      <alignment horizontal="left" vertical="center" indent="1"/>
    </xf>
    <xf numFmtId="0" fontId="13" fillId="0" borderId="0" xfId="0" applyFont="1"/>
    <xf numFmtId="167" fontId="0" fillId="0" borderId="0" xfId="0" applyNumberFormat="1"/>
    <xf numFmtId="14" fontId="0" fillId="0" borderId="1" xfId="0" applyNumberFormat="1" applyBorder="1"/>
    <xf numFmtId="0" fontId="15" fillId="0" borderId="1" xfId="0" applyFont="1" applyBorder="1" applyAlignment="1">
      <alignment horizontal="left"/>
    </xf>
    <xf numFmtId="0" fontId="4" fillId="11" borderId="1" xfId="0" applyFont="1" applyFill="1" applyBorder="1"/>
    <xf numFmtId="0" fontId="4" fillId="12" borderId="0" xfId="0" applyFont="1" applyFill="1"/>
    <xf numFmtId="0" fontId="4" fillId="12" borderId="1" xfId="0" applyFont="1" applyFill="1" applyBorder="1"/>
    <xf numFmtId="0" fontId="4" fillId="12" borderId="11" xfId="0" applyFont="1" applyFill="1" applyBorder="1"/>
    <xf numFmtId="14" fontId="4" fillId="12" borderId="1" xfId="0" applyNumberFormat="1" applyFont="1" applyFill="1" applyBorder="1"/>
    <xf numFmtId="0" fontId="1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3" borderId="0" xfId="1" applyFont="1" applyAlignment="1">
      <alignment horizontal="center"/>
    </xf>
    <xf numFmtId="0" fontId="8" fillId="7" borderId="0" xfId="0" applyFont="1" applyFill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12" borderId="10" xfId="0" applyFill="1" applyBorder="1" applyAlignment="1">
      <alignment horizontal="center" vertical="center"/>
    </xf>
    <xf numFmtId="14" fontId="11" fillId="13" borderId="0" xfId="0" applyNumberFormat="1" applyFont="1" applyFill="1" applyAlignment="1">
      <alignment horizontal="center" vertical="center"/>
    </xf>
    <xf numFmtId="14" fontId="11" fillId="13" borderId="10" xfId="0" applyNumberFormat="1" applyFont="1" applyFill="1" applyBorder="1" applyAlignment="1">
      <alignment horizontal="center" vertical="center"/>
    </xf>
  </cellXfs>
  <cellStyles count="9">
    <cellStyle name="GrayCell" xfId="2" xr:uid="{5B99F245-2026-4095-9A8E-3FD7E4541F31}"/>
    <cellStyle name="GrayCell 2" xfId="6" xr:uid="{B998272B-E188-4951-BB5F-6B7CC1B986D4}"/>
    <cellStyle name="Heading 3 2" xfId="1" xr:uid="{8F0EBADF-A96C-4514-B880-3F57540E300A}"/>
    <cellStyle name="Normal" xfId="0" builtinId="0"/>
    <cellStyle name="Normal 2" xfId="5" xr:uid="{C01B57D1-2FCB-4A65-BEF3-6283ADE801F5}"/>
    <cellStyle name="Normal 3" xfId="7" xr:uid="{5A296242-F296-4AEA-AD53-13B601129F4C}"/>
    <cellStyle name="OrangeBorder" xfId="4" xr:uid="{119862E1-8536-445D-BF0A-4867E93F787D}"/>
    <cellStyle name="OrangeBorder 2" xfId="8" xr:uid="{B36606B6-1177-4420-8E87-D41B96D7CAD8}"/>
    <cellStyle name="YellowCell" xfId="3" xr:uid="{39DB5402-97D8-419C-9768-33D39666EA4C}"/>
  </cellStyles>
  <dxfs count="7">
    <dxf>
      <fill>
        <patternFill>
          <bgColor theme="4" tint="0.79998168889431442"/>
        </patternFill>
      </fill>
    </dxf>
    <dxf>
      <fill>
        <patternFill>
          <bgColor theme="1" tint="0.499984740745262"/>
        </patternFill>
      </fill>
    </dxf>
    <dxf>
      <fill>
        <patternFill>
          <bgColor theme="5"/>
        </patternFill>
      </fill>
    </dxf>
    <dxf>
      <fill>
        <patternFill>
          <bgColor theme="4" tint="0.79998168889431442"/>
        </patternFill>
      </fill>
    </dxf>
    <dxf>
      <fill>
        <patternFill>
          <bgColor theme="1" tint="0.499984740745262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ula%20tutorial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"/>
      <sheetName val="Basics"/>
      <sheetName val="Introduction to Functions"/>
      <sheetName val="AVERAGE"/>
      <sheetName val="MIN &amp; MAX"/>
      <sheetName val="Date &amp; Time"/>
      <sheetName val="Joining text and numbers"/>
      <sheetName val="IF statements"/>
      <sheetName val="VLOOKUP"/>
      <sheetName val="Conditional Functions"/>
      <sheetName val="Function Wizard"/>
      <sheetName val="Formula Errors"/>
      <sheetName val="Learn more"/>
      <sheetName val="Formula tutorial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5FB16-8A08-4201-B7FA-AF81DDD3C5BA}">
  <dimension ref="B2"/>
  <sheetViews>
    <sheetView workbookViewId="0">
      <selection activeCell="F19" sqref="F19"/>
    </sheetView>
  </sheetViews>
  <sheetFormatPr defaultRowHeight="15" x14ac:dyDescent="0.25"/>
  <sheetData>
    <row r="2" spans="2:2" x14ac:dyDescent="0.25">
      <c r="B2" t="s">
        <v>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2981D-1A83-4029-A142-3BC82D327C1A}">
  <dimension ref="A1:Z21"/>
  <sheetViews>
    <sheetView workbookViewId="0">
      <selection activeCell="C6" sqref="C6"/>
    </sheetView>
  </sheetViews>
  <sheetFormatPr defaultRowHeight="15" x14ac:dyDescent="0.25"/>
  <sheetData>
    <row r="1" spans="1:26" x14ac:dyDescent="0.25">
      <c r="A1" s="1"/>
      <c r="B1" s="1"/>
      <c r="C1" s="1"/>
      <c r="D1" s="1"/>
      <c r="E1" s="1"/>
      <c r="F1" s="67" t="s">
        <v>0</v>
      </c>
      <c r="G1" s="67"/>
      <c r="H1" s="67"/>
      <c r="I1" s="67"/>
      <c r="J1" s="67"/>
      <c r="K1" s="67"/>
      <c r="L1" s="67"/>
      <c r="M1" s="67"/>
      <c r="N1" s="67"/>
      <c r="O1" s="67"/>
      <c r="P1" s="67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"/>
      <c r="B2" s="1"/>
      <c r="C2" s="1"/>
      <c r="D2" s="1"/>
      <c r="E2" s="1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"/>
      <c r="B3" s="1"/>
      <c r="C3" s="1"/>
      <c r="D3" s="1"/>
      <c r="E3" s="1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</sheetData>
  <mergeCells count="1">
    <mergeCell ref="F1:P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79F17-B5C6-4F52-8188-D24786E003F3}">
  <dimension ref="A1:F8"/>
  <sheetViews>
    <sheetView workbookViewId="0">
      <selection activeCell="D17" sqref="D17"/>
    </sheetView>
  </sheetViews>
  <sheetFormatPr defaultRowHeight="15" x14ac:dyDescent="0.25"/>
  <cols>
    <col min="1" max="1" width="9.7109375" bestFit="1" customWidth="1"/>
    <col min="2" max="2" width="14.140625" bestFit="1" customWidth="1"/>
    <col min="3" max="3" width="11.7109375" bestFit="1" customWidth="1"/>
    <col min="4" max="4" width="10.140625" bestFit="1" customWidth="1"/>
    <col min="6" max="6" width="80.28515625" customWidth="1"/>
  </cols>
  <sheetData>
    <row r="1" spans="1:6" x14ac:dyDescent="0.25">
      <c r="A1" s="49" t="s">
        <v>75</v>
      </c>
      <c r="B1" s="49" t="s">
        <v>76</v>
      </c>
      <c r="C1" s="49" t="s">
        <v>77</v>
      </c>
      <c r="D1" s="49" t="s">
        <v>78</v>
      </c>
      <c r="F1" s="68" t="s">
        <v>86</v>
      </c>
    </row>
    <row r="2" spans="1:6" x14ac:dyDescent="0.25">
      <c r="A2" s="47">
        <v>45658</v>
      </c>
      <c r="B2" s="48" t="s">
        <v>79</v>
      </c>
      <c r="C2" s="48" t="s">
        <v>53</v>
      </c>
      <c r="D2" s="48">
        <v>5000</v>
      </c>
      <c r="F2" s="68"/>
    </row>
    <row r="3" spans="1:6" x14ac:dyDescent="0.25">
      <c r="A3" s="47">
        <v>45659</v>
      </c>
      <c r="B3" s="48" t="s">
        <v>80</v>
      </c>
      <c r="C3" s="48" t="s">
        <v>81</v>
      </c>
      <c r="D3" s="48">
        <v>7000</v>
      </c>
      <c r="F3" s="69" t="s">
        <v>87</v>
      </c>
    </row>
    <row r="4" spans="1:6" x14ac:dyDescent="0.25">
      <c r="A4" s="47">
        <v>45660</v>
      </c>
      <c r="B4" s="48" t="s">
        <v>79</v>
      </c>
      <c r="C4" s="48" t="s">
        <v>53</v>
      </c>
      <c r="D4" s="48">
        <v>6000</v>
      </c>
      <c r="F4" s="69"/>
    </row>
    <row r="5" spans="1:6" x14ac:dyDescent="0.25">
      <c r="A5" s="47">
        <v>45661</v>
      </c>
      <c r="B5" s="48" t="s">
        <v>82</v>
      </c>
      <c r="C5" s="48" t="s">
        <v>83</v>
      </c>
      <c r="D5" s="48">
        <v>4000</v>
      </c>
      <c r="F5" s="69"/>
    </row>
    <row r="6" spans="1:6" x14ac:dyDescent="0.25">
      <c r="A6" s="47">
        <v>45662</v>
      </c>
      <c r="B6" s="48" t="s">
        <v>80</v>
      </c>
      <c r="C6" s="48" t="s">
        <v>81</v>
      </c>
      <c r="D6" s="48">
        <v>8000</v>
      </c>
      <c r="F6" s="69"/>
    </row>
    <row r="7" spans="1:6" x14ac:dyDescent="0.25">
      <c r="C7" s="50" t="s">
        <v>84</v>
      </c>
      <c r="D7" s="51">
        <f>SUM(D2:D6)</f>
        <v>30000</v>
      </c>
    </row>
    <row r="8" spans="1:6" x14ac:dyDescent="0.25">
      <c r="C8" s="50" t="s">
        <v>85</v>
      </c>
      <c r="D8" s="51">
        <f>SUBTOTAL(9,D2:D6)</f>
        <v>30000</v>
      </c>
    </row>
  </sheetData>
  <autoFilter ref="A1:D7" xr:uid="{9DF79F17-B5C6-4F52-8188-D24786E003F3}"/>
  <mergeCells count="2">
    <mergeCell ref="F1:F2"/>
    <mergeCell ref="F3:F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5B627-5C74-4DF3-9BA3-C198E954165F}">
  <dimension ref="A1:P15"/>
  <sheetViews>
    <sheetView workbookViewId="0">
      <selection activeCell="H5" sqref="H5"/>
    </sheetView>
  </sheetViews>
  <sheetFormatPr defaultRowHeight="15" x14ac:dyDescent="0.25"/>
  <cols>
    <col min="1" max="1" width="11.5703125" bestFit="1" customWidth="1"/>
    <col min="2" max="2" width="8.85546875" bestFit="1" customWidth="1"/>
    <col min="3" max="3" width="18.42578125" bestFit="1" customWidth="1"/>
    <col min="5" max="5" width="23" bestFit="1" customWidth="1"/>
    <col min="6" max="6" width="8.42578125" bestFit="1" customWidth="1"/>
    <col min="7" max="8" width="7.28515625" bestFit="1" customWidth="1"/>
    <col min="10" max="10" width="23" bestFit="1" customWidth="1"/>
    <col min="11" max="11" width="10.42578125" bestFit="1" customWidth="1"/>
    <col min="16" max="16" width="10.42578125" bestFit="1" customWidth="1"/>
  </cols>
  <sheetData>
    <row r="1" spans="1:16" x14ac:dyDescent="0.25">
      <c r="A1" s="70" t="s">
        <v>1</v>
      </c>
      <c r="B1" s="70"/>
      <c r="E1" s="2" t="s">
        <v>67</v>
      </c>
      <c r="F1" s="2"/>
    </row>
    <row r="2" spans="1:16" x14ac:dyDescent="0.25">
      <c r="A2" s="3" t="s">
        <v>2</v>
      </c>
      <c r="B2" s="4">
        <v>0.33333333333333331</v>
      </c>
      <c r="E2" s="3" t="s">
        <v>68</v>
      </c>
      <c r="F2" s="41">
        <v>46014</v>
      </c>
    </row>
    <row r="3" spans="1:16" ht="15.75" thickBot="1" x14ac:dyDescent="0.3">
      <c r="A3" s="3" t="s">
        <v>3</v>
      </c>
      <c r="B3" s="4">
        <v>0.5</v>
      </c>
      <c r="E3" s="3" t="s">
        <v>69</v>
      </c>
      <c r="F3" s="41">
        <v>36697</v>
      </c>
    </row>
    <row r="4" spans="1:16" ht="16.5" thickTop="1" thickBot="1" x14ac:dyDescent="0.3">
      <c r="A4" s="3" t="s">
        <v>4</v>
      </c>
      <c r="B4" s="4">
        <v>0.54166666666666663</v>
      </c>
      <c r="E4" s="3" t="s">
        <v>70</v>
      </c>
      <c r="F4" s="5">
        <f>F3-F2</f>
        <v>-9317</v>
      </c>
    </row>
    <row r="5" spans="1:16" ht="16.5" thickTop="1" thickBot="1" x14ac:dyDescent="0.3">
      <c r="A5" s="3" t="s">
        <v>5</v>
      </c>
      <c r="B5" s="4">
        <v>0.70833333333333337</v>
      </c>
    </row>
    <row r="6" spans="1:16" ht="16.5" thickTop="1" thickBot="1" x14ac:dyDescent="0.3">
      <c r="A6" s="3" t="s">
        <v>6</v>
      </c>
      <c r="B6" s="5">
        <f>((B5-B2)-(B4-B3))*24</f>
        <v>8.0000000000000018</v>
      </c>
      <c r="C6" t="s">
        <v>18</v>
      </c>
      <c r="E6" s="3" t="s">
        <v>71</v>
      </c>
      <c r="F6" s="43"/>
    </row>
    <row r="7" spans="1:16" ht="16.5" thickTop="1" thickBot="1" x14ac:dyDescent="0.3">
      <c r="E7" s="3" t="s">
        <v>72</v>
      </c>
      <c r="F7" s="42"/>
    </row>
    <row r="8" spans="1:16" ht="15.75" thickTop="1" x14ac:dyDescent="0.25"/>
    <row r="9" spans="1:16" x14ac:dyDescent="0.25">
      <c r="B9" s="59">
        <f>(B5-B2)*24</f>
        <v>9.0000000000000018</v>
      </c>
      <c r="C9" t="s">
        <v>17</v>
      </c>
    </row>
    <row r="13" spans="1:16" x14ac:dyDescent="0.25">
      <c r="J13" s="17"/>
    </row>
    <row r="14" spans="1:16" x14ac:dyDescent="0.25">
      <c r="P14" s="44"/>
    </row>
    <row r="15" spans="1:16" x14ac:dyDescent="0.25">
      <c r="P15" s="45"/>
    </row>
  </sheetData>
  <mergeCells count="1"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7F9FC-C81A-4C5F-A271-81183FDC838A}">
  <dimension ref="A1:K17"/>
  <sheetViews>
    <sheetView workbookViewId="0">
      <selection activeCell="L9" sqref="L9"/>
    </sheetView>
  </sheetViews>
  <sheetFormatPr defaultRowHeight="15" x14ac:dyDescent="0.25"/>
  <cols>
    <col min="1" max="1" width="12.42578125" customWidth="1"/>
    <col min="2" max="2" width="10.42578125" customWidth="1"/>
    <col min="4" max="4" width="8.28515625" bestFit="1" customWidth="1"/>
    <col min="5" max="5" width="11" bestFit="1" customWidth="1"/>
    <col min="6" max="6" width="10.5703125" customWidth="1"/>
    <col min="11" max="11" width="14.85546875" customWidth="1"/>
  </cols>
  <sheetData>
    <row r="1" spans="1:11" x14ac:dyDescent="0.25">
      <c r="A1" s="18" t="s">
        <v>19</v>
      </c>
      <c r="B1" s="19" t="s">
        <v>20</v>
      </c>
      <c r="C1" s="20"/>
      <c r="D1" s="18" t="s">
        <v>19</v>
      </c>
      <c r="E1" s="18" t="s">
        <v>21</v>
      </c>
      <c r="F1" s="18" t="s">
        <v>20</v>
      </c>
    </row>
    <row r="2" spans="1:11" x14ac:dyDescent="0.25">
      <c r="A2" s="3" t="s">
        <v>22</v>
      </c>
      <c r="B2" s="21">
        <v>50</v>
      </c>
      <c r="C2" s="20"/>
      <c r="D2" s="3" t="s">
        <v>22</v>
      </c>
      <c r="E2" s="3" t="s">
        <v>23</v>
      </c>
      <c r="F2" s="3">
        <v>50</v>
      </c>
    </row>
    <row r="3" spans="1:11" x14ac:dyDescent="0.25">
      <c r="A3" s="3" t="s">
        <v>24</v>
      </c>
      <c r="B3" s="21">
        <v>20</v>
      </c>
      <c r="C3" s="20"/>
      <c r="D3" s="3" t="s">
        <v>24</v>
      </c>
      <c r="E3" s="3" t="s">
        <v>25</v>
      </c>
      <c r="F3" s="3">
        <v>20</v>
      </c>
    </row>
    <row r="4" spans="1:11" ht="15.75" x14ac:dyDescent="0.25">
      <c r="A4" s="3" t="s">
        <v>26</v>
      </c>
      <c r="B4" s="21">
        <v>60</v>
      </c>
      <c r="C4" s="20"/>
      <c r="D4" s="3" t="s">
        <v>26</v>
      </c>
      <c r="E4" s="3" t="s">
        <v>27</v>
      </c>
      <c r="F4" s="3">
        <v>60</v>
      </c>
      <c r="J4" s="71" t="s">
        <v>43</v>
      </c>
      <c r="K4" s="71"/>
    </row>
    <row r="5" spans="1:11" x14ac:dyDescent="0.25">
      <c r="A5" s="3" t="s">
        <v>28</v>
      </c>
      <c r="B5" s="21">
        <v>40</v>
      </c>
      <c r="C5" s="20"/>
      <c r="D5" s="3" t="s">
        <v>28</v>
      </c>
      <c r="E5" s="3" t="s">
        <v>29</v>
      </c>
      <c r="F5" s="3">
        <v>40</v>
      </c>
      <c r="J5" s="18" t="s">
        <v>7</v>
      </c>
      <c r="K5" s="18" t="s">
        <v>20</v>
      </c>
    </row>
    <row r="6" spans="1:11" x14ac:dyDescent="0.25">
      <c r="A6" s="3" t="s">
        <v>22</v>
      </c>
      <c r="B6" s="21">
        <v>50</v>
      </c>
      <c r="C6" s="20"/>
      <c r="D6" s="3" t="s">
        <v>22</v>
      </c>
      <c r="E6" s="3" t="s">
        <v>30</v>
      </c>
      <c r="F6" s="3">
        <v>50</v>
      </c>
      <c r="J6" s="30" t="s">
        <v>38</v>
      </c>
      <c r="K6" s="30">
        <v>50</v>
      </c>
    </row>
    <row r="7" spans="1:11" x14ac:dyDescent="0.25">
      <c r="A7" s="3" t="s">
        <v>24</v>
      </c>
      <c r="B7" s="21">
        <v>20</v>
      </c>
      <c r="C7" s="20"/>
      <c r="D7" s="3" t="s">
        <v>24</v>
      </c>
      <c r="E7" s="3" t="s">
        <v>31</v>
      </c>
      <c r="F7" s="3">
        <v>20</v>
      </c>
      <c r="J7" s="30" t="s">
        <v>39</v>
      </c>
      <c r="K7" s="30">
        <v>100</v>
      </c>
    </row>
    <row r="8" spans="1:11" x14ac:dyDescent="0.25">
      <c r="A8" s="3" t="s">
        <v>26</v>
      </c>
      <c r="B8" s="21">
        <v>60</v>
      </c>
      <c r="C8" s="20"/>
      <c r="D8" s="3" t="s">
        <v>26</v>
      </c>
      <c r="E8" s="3" t="s">
        <v>32</v>
      </c>
      <c r="F8" s="3">
        <v>60</v>
      </c>
      <c r="J8" s="30" t="s">
        <v>40</v>
      </c>
      <c r="K8" s="30">
        <v>40</v>
      </c>
    </row>
    <row r="9" spans="1:11" x14ac:dyDescent="0.25">
      <c r="A9" s="3" t="s">
        <v>28</v>
      </c>
      <c r="B9" s="21">
        <v>40</v>
      </c>
      <c r="C9" s="20"/>
      <c r="D9" s="3" t="s">
        <v>28</v>
      </c>
      <c r="E9" s="3" t="s">
        <v>33</v>
      </c>
      <c r="F9" s="3">
        <v>40</v>
      </c>
      <c r="J9" s="30" t="s">
        <v>41</v>
      </c>
      <c r="K9" s="30">
        <v>50</v>
      </c>
    </row>
    <row r="10" spans="1:11" ht="15.75" thickBot="1" x14ac:dyDescent="0.3">
      <c r="A10" s="3" t="s">
        <v>22</v>
      </c>
      <c r="B10" s="21">
        <v>50</v>
      </c>
      <c r="C10" s="20"/>
      <c r="D10" s="3" t="s">
        <v>22</v>
      </c>
      <c r="E10" s="3" t="s">
        <v>30</v>
      </c>
      <c r="F10" s="3">
        <v>50</v>
      </c>
      <c r="J10" s="30" t="s">
        <v>42</v>
      </c>
      <c r="K10" s="30">
        <v>20</v>
      </c>
    </row>
    <row r="11" spans="1:11" ht="16.5" thickTop="1" thickBot="1" x14ac:dyDescent="0.3">
      <c r="A11" s="3" t="s">
        <v>24</v>
      </c>
      <c r="B11" s="21">
        <v>20</v>
      </c>
      <c r="C11" s="20"/>
      <c r="D11" s="3" t="s">
        <v>24</v>
      </c>
      <c r="E11" s="3" t="s">
        <v>31</v>
      </c>
      <c r="F11" s="3">
        <v>20</v>
      </c>
      <c r="J11" s="31"/>
      <c r="K11" s="32">
        <f>SUMIF(K6:K10,"&gt;=50")</f>
        <v>200</v>
      </c>
    </row>
    <row r="12" spans="1:11" ht="15.75" thickTop="1" x14ac:dyDescent="0.25">
      <c r="A12" s="3" t="s">
        <v>26</v>
      </c>
      <c r="B12" s="21">
        <v>60</v>
      </c>
      <c r="C12" s="20"/>
      <c r="D12" s="3" t="s">
        <v>26</v>
      </c>
      <c r="E12" s="3" t="s">
        <v>27</v>
      </c>
      <c r="F12" s="3">
        <v>60</v>
      </c>
    </row>
    <row r="13" spans="1:11" x14ac:dyDescent="0.25">
      <c r="A13" s="3" t="s">
        <v>28</v>
      </c>
      <c r="B13" s="21">
        <v>40</v>
      </c>
      <c r="C13" s="20"/>
      <c r="D13" s="3" t="s">
        <v>28</v>
      </c>
      <c r="E13" s="3" t="s">
        <v>33</v>
      </c>
      <c r="F13" s="3">
        <v>40</v>
      </c>
    </row>
    <row r="14" spans="1:11" x14ac:dyDescent="0.25">
      <c r="A14" s="22"/>
      <c r="B14" s="22"/>
      <c r="C14" s="22"/>
      <c r="D14" s="22"/>
      <c r="F14" s="22"/>
    </row>
    <row r="15" spans="1:11" ht="15.75" thickBot="1" x14ac:dyDescent="0.3">
      <c r="A15" s="23" t="s">
        <v>19</v>
      </c>
      <c r="B15" s="24" t="s">
        <v>34</v>
      </c>
      <c r="C15" s="20"/>
      <c r="D15" s="23" t="s">
        <v>19</v>
      </c>
      <c r="E15" t="s">
        <v>21</v>
      </c>
      <c r="F15" s="24" t="s">
        <v>35</v>
      </c>
    </row>
    <row r="16" spans="1:11" ht="16.5" thickTop="1" thickBot="1" x14ac:dyDescent="0.3">
      <c r="A16" s="25" t="s">
        <v>26</v>
      </c>
      <c r="B16" s="26">
        <f>SUMIF(A2:A13,A16,B2:B13)</f>
        <v>180</v>
      </c>
      <c r="C16" s="20"/>
      <c r="D16" s="25" t="s">
        <v>28</v>
      </c>
      <c r="E16" s="25" t="s">
        <v>29</v>
      </c>
      <c r="F16" s="27">
        <f>SUMIFS(F2:F13,D2:D13,D16,E2:E13,E16)</f>
        <v>40</v>
      </c>
    </row>
    <row r="17" ht="15.75" thickTop="1" x14ac:dyDescent="0.25"/>
  </sheetData>
  <mergeCells count="1">
    <mergeCell ref="J4:K4"/>
  </mergeCells>
  <dataValidations count="3">
    <dataValidation type="list" allowBlank="1" showInputMessage="1" showErrorMessage="1" sqref="E19" xr:uid="{2C8474E1-38EB-497C-8F5A-29950D7C2698}">
      <formula1>INDIRECT(D19)</formula1>
    </dataValidation>
    <dataValidation type="list" allowBlank="1" showInputMessage="1" showErrorMessage="1" sqref="A16 D16 D19" xr:uid="{02B50FCA-C3A8-40CB-AEFE-8D801CFB12CA}">
      <formula1>lst_Fruit</formula1>
    </dataValidation>
    <dataValidation type="list" allowBlank="1" showInputMessage="1" showErrorMessage="1" sqref="E16" xr:uid="{ED60DDF8-AB93-4D1C-A4B4-78AFC2A8B89D}">
      <formula1>"Fuji, Florida, Cavendish, Rough, Honeycrips, Navel, Lady Finger, Eureka"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04D76-7EED-451F-BA77-6A91C88873B4}">
  <dimension ref="A1:F17"/>
  <sheetViews>
    <sheetView workbookViewId="0">
      <selection activeCell="J11" sqref="J11"/>
    </sheetView>
  </sheetViews>
  <sheetFormatPr defaultRowHeight="15" x14ac:dyDescent="0.25"/>
  <cols>
    <col min="1" max="1" width="8.28515625" bestFit="1" customWidth="1"/>
    <col min="2" max="2" width="9" bestFit="1" customWidth="1"/>
    <col min="4" max="4" width="8.28515625" bestFit="1" customWidth="1"/>
    <col min="5" max="5" width="11" bestFit="1" customWidth="1"/>
    <col min="6" max="6" width="10" bestFit="1" customWidth="1"/>
  </cols>
  <sheetData>
    <row r="1" spans="1:6" x14ac:dyDescent="0.25">
      <c r="A1" s="18" t="s">
        <v>19</v>
      </c>
      <c r="B1" s="19" t="s">
        <v>20</v>
      </c>
      <c r="C1" s="20"/>
      <c r="D1" s="18" t="s">
        <v>19</v>
      </c>
      <c r="E1" s="18" t="s">
        <v>21</v>
      </c>
      <c r="F1" s="19" t="s">
        <v>20</v>
      </c>
    </row>
    <row r="2" spans="1:6" x14ac:dyDescent="0.25">
      <c r="A2" s="28" t="s">
        <v>22</v>
      </c>
      <c r="B2" s="29">
        <v>50</v>
      </c>
      <c r="C2" s="20"/>
      <c r="D2" s="28" t="s">
        <v>22</v>
      </c>
      <c r="E2" s="28" t="s">
        <v>23</v>
      </c>
      <c r="F2" s="29">
        <v>50</v>
      </c>
    </row>
    <row r="3" spans="1:6" x14ac:dyDescent="0.25">
      <c r="A3" s="28" t="s">
        <v>24</v>
      </c>
      <c r="B3" s="29">
        <v>20</v>
      </c>
      <c r="C3" s="20"/>
      <c r="D3" s="28" t="s">
        <v>24</v>
      </c>
      <c r="E3" s="28" t="s">
        <v>25</v>
      </c>
      <c r="F3" s="29">
        <v>20</v>
      </c>
    </row>
    <row r="4" spans="1:6" x14ac:dyDescent="0.25">
      <c r="A4" s="28" t="s">
        <v>26</v>
      </c>
      <c r="B4" s="29">
        <v>60</v>
      </c>
      <c r="C4" s="20"/>
      <c r="D4" s="28" t="s">
        <v>26</v>
      </c>
      <c r="E4" s="28" t="s">
        <v>27</v>
      </c>
      <c r="F4" s="29">
        <v>60</v>
      </c>
    </row>
    <row r="5" spans="1:6" x14ac:dyDescent="0.25">
      <c r="A5" s="28" t="s">
        <v>28</v>
      </c>
      <c r="B5" s="29">
        <v>40</v>
      </c>
      <c r="C5" s="20"/>
      <c r="D5" s="28" t="s">
        <v>28</v>
      </c>
      <c r="E5" s="28" t="s">
        <v>29</v>
      </c>
      <c r="F5" s="29">
        <v>40</v>
      </c>
    </row>
    <row r="6" spans="1:6" x14ac:dyDescent="0.25">
      <c r="A6" s="28" t="s">
        <v>22</v>
      </c>
      <c r="B6" s="29">
        <v>50</v>
      </c>
      <c r="C6" s="20"/>
      <c r="D6" s="28" t="s">
        <v>22</v>
      </c>
      <c r="E6" s="28" t="s">
        <v>30</v>
      </c>
      <c r="F6" s="29">
        <v>50</v>
      </c>
    </row>
    <row r="7" spans="1:6" x14ac:dyDescent="0.25">
      <c r="A7" s="28" t="s">
        <v>24</v>
      </c>
      <c r="B7" s="29">
        <v>20</v>
      </c>
      <c r="C7" s="20"/>
      <c r="D7" s="28" t="s">
        <v>24</v>
      </c>
      <c r="E7" s="28" t="s">
        <v>31</v>
      </c>
      <c r="F7" s="29">
        <v>20</v>
      </c>
    </row>
    <row r="8" spans="1:6" x14ac:dyDescent="0.25">
      <c r="A8" s="28" t="s">
        <v>26</v>
      </c>
      <c r="B8" s="29">
        <v>60</v>
      </c>
      <c r="C8" s="20"/>
      <c r="D8" s="28" t="s">
        <v>26</v>
      </c>
      <c r="E8" s="28" t="s">
        <v>32</v>
      </c>
      <c r="F8" s="29">
        <v>60</v>
      </c>
    </row>
    <row r="9" spans="1:6" x14ac:dyDescent="0.25">
      <c r="A9" s="28" t="s">
        <v>28</v>
      </c>
      <c r="B9" s="29">
        <v>40</v>
      </c>
      <c r="C9" s="20"/>
      <c r="D9" s="28" t="s">
        <v>28</v>
      </c>
      <c r="E9" s="28" t="s">
        <v>33</v>
      </c>
      <c r="F9" s="29">
        <v>40</v>
      </c>
    </row>
    <row r="10" spans="1:6" x14ac:dyDescent="0.25">
      <c r="A10" s="28" t="s">
        <v>22</v>
      </c>
      <c r="B10" s="29">
        <v>50</v>
      </c>
      <c r="C10" s="20"/>
      <c r="D10" s="28" t="s">
        <v>22</v>
      </c>
      <c r="E10" s="28" t="s">
        <v>30</v>
      </c>
      <c r="F10" s="29">
        <v>50</v>
      </c>
    </row>
    <row r="11" spans="1:6" x14ac:dyDescent="0.25">
      <c r="A11" s="28" t="s">
        <v>24</v>
      </c>
      <c r="B11" s="29">
        <v>20</v>
      </c>
      <c r="C11" s="20"/>
      <c r="D11" s="28" t="s">
        <v>24</v>
      </c>
      <c r="E11" s="28" t="s">
        <v>31</v>
      </c>
      <c r="F11" s="29">
        <v>20</v>
      </c>
    </row>
    <row r="12" spans="1:6" x14ac:dyDescent="0.25">
      <c r="A12" s="28" t="s">
        <v>26</v>
      </c>
      <c r="B12" s="29">
        <v>60</v>
      </c>
      <c r="C12" s="20"/>
      <c r="D12" s="28" t="s">
        <v>26</v>
      </c>
      <c r="E12" s="28" t="s">
        <v>27</v>
      </c>
      <c r="F12" s="29">
        <v>60</v>
      </c>
    </row>
    <row r="13" spans="1:6" x14ac:dyDescent="0.25">
      <c r="A13" s="28" t="s">
        <v>28</v>
      </c>
      <c r="B13" s="29">
        <v>40</v>
      </c>
      <c r="C13" s="20"/>
      <c r="D13" s="28" t="s">
        <v>28</v>
      </c>
      <c r="E13" s="28" t="s">
        <v>33</v>
      </c>
      <c r="F13" s="29">
        <v>40</v>
      </c>
    </row>
    <row r="14" spans="1:6" x14ac:dyDescent="0.25">
      <c r="A14" s="22"/>
      <c r="B14" s="22"/>
      <c r="C14" s="22"/>
      <c r="D14" s="22"/>
      <c r="E14" s="22"/>
      <c r="F14" s="22"/>
    </row>
    <row r="15" spans="1:6" ht="15.75" thickBot="1" x14ac:dyDescent="0.3">
      <c r="A15" s="23" t="s">
        <v>19</v>
      </c>
      <c r="B15" s="24" t="s">
        <v>36</v>
      </c>
      <c r="C15" s="20"/>
      <c r="D15" s="23" t="s">
        <v>19</v>
      </c>
      <c r="E15" s="23" t="s">
        <v>21</v>
      </c>
      <c r="F15" s="24" t="s">
        <v>37</v>
      </c>
    </row>
    <row r="16" spans="1:6" ht="16.5" thickTop="1" thickBot="1" x14ac:dyDescent="0.3">
      <c r="A16" s="25" t="s">
        <v>22</v>
      </c>
      <c r="B16" s="26">
        <f>COUNTIF(A2:A13,A16)</f>
        <v>3</v>
      </c>
      <c r="C16" s="20"/>
      <c r="D16" s="25" t="s">
        <v>26</v>
      </c>
      <c r="E16" s="25" t="s">
        <v>27</v>
      </c>
      <c r="F16" s="27">
        <f>COUNTIFS(D2:D13,D16,E2:E13,E16)</f>
        <v>2</v>
      </c>
    </row>
    <row r="17" ht="15.75" thickTop="1" x14ac:dyDescent="0.25"/>
  </sheetData>
  <dataValidations count="2">
    <dataValidation type="list" allowBlank="1" showInputMessage="1" showErrorMessage="1" sqref="E16" xr:uid="{36F09898-8979-4A5D-88A4-CAE38FA2683F}">
      <formula1>"Fuji, Florida, Cavendish, Rough, Honeycrips, Navel, Lady Finger, Eureka"</formula1>
    </dataValidation>
    <dataValidation type="list" allowBlank="1" showInputMessage="1" showErrorMessage="1" sqref="A16 D16" xr:uid="{37478042-5C01-4058-9E4B-EC86B9177F48}">
      <formula1>lst_Fruit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D2305-67B3-4ECE-9CD0-45011E1FF19A}">
  <dimension ref="A1:G21"/>
  <sheetViews>
    <sheetView workbookViewId="0">
      <selection activeCell="G22" sqref="G22"/>
    </sheetView>
  </sheetViews>
  <sheetFormatPr defaultRowHeight="15" x14ac:dyDescent="0.25"/>
  <cols>
    <col min="1" max="1" width="8" bestFit="1" customWidth="1"/>
    <col min="2" max="2" width="8.140625" bestFit="1" customWidth="1"/>
    <col min="4" max="4" width="8" bestFit="1" customWidth="1"/>
    <col min="5" max="5" width="8.140625" bestFit="1" customWidth="1"/>
    <col min="7" max="7" width="89.28515625" bestFit="1" customWidth="1"/>
  </cols>
  <sheetData>
    <row r="1" spans="1:7" x14ac:dyDescent="0.25">
      <c r="A1" s="33" t="s">
        <v>7</v>
      </c>
      <c r="B1" s="34" t="s">
        <v>20</v>
      </c>
      <c r="C1" s="24"/>
      <c r="D1" s="35" t="s">
        <v>7</v>
      </c>
      <c r="E1" s="34" t="s">
        <v>20</v>
      </c>
    </row>
    <row r="2" spans="1:7" ht="16.5" customHeight="1" x14ac:dyDescent="0.3">
      <c r="A2" s="3" t="s">
        <v>38</v>
      </c>
      <c r="B2" s="21">
        <v>50</v>
      </c>
      <c r="C2" s="20"/>
      <c r="D2" s="36" t="s">
        <v>38</v>
      </c>
      <c r="E2" s="21">
        <v>50</v>
      </c>
      <c r="G2" s="38"/>
    </row>
    <row r="3" spans="1:7" x14ac:dyDescent="0.25">
      <c r="A3" s="3" t="s">
        <v>39</v>
      </c>
      <c r="B3" s="21">
        <v>100</v>
      </c>
      <c r="C3" s="20"/>
      <c r="D3" s="36" t="s">
        <v>39</v>
      </c>
      <c r="E3" s="21">
        <v>100</v>
      </c>
      <c r="G3" s="68" t="s">
        <v>45</v>
      </c>
    </row>
    <row r="4" spans="1:7" x14ac:dyDescent="0.25">
      <c r="A4" s="3" t="s">
        <v>40</v>
      </c>
      <c r="B4" s="21">
        <v>40</v>
      </c>
      <c r="C4" s="20"/>
      <c r="D4" s="36" t="s">
        <v>40</v>
      </c>
      <c r="E4" s="21">
        <v>40</v>
      </c>
      <c r="G4" s="68"/>
    </row>
    <row r="5" spans="1:7" x14ac:dyDescent="0.25">
      <c r="A5" s="3" t="s">
        <v>41</v>
      </c>
      <c r="B5" s="21">
        <v>50</v>
      </c>
      <c r="C5" s="20"/>
      <c r="D5" s="36" t="s">
        <v>41</v>
      </c>
      <c r="E5" s="21">
        <v>50</v>
      </c>
      <c r="G5" s="69" t="s">
        <v>44</v>
      </c>
    </row>
    <row r="6" spans="1:7" x14ac:dyDescent="0.25">
      <c r="A6" s="3" t="s">
        <v>42</v>
      </c>
      <c r="B6" s="21">
        <v>20</v>
      </c>
      <c r="C6" s="20"/>
      <c r="D6" s="36" t="s">
        <v>42</v>
      </c>
      <c r="E6" s="21">
        <v>20</v>
      </c>
      <c r="G6" s="69"/>
    </row>
    <row r="7" spans="1:7" ht="15.75" thickBot="1" x14ac:dyDescent="0.3">
      <c r="A7" s="23"/>
      <c r="B7" s="23"/>
      <c r="C7" s="23"/>
      <c r="D7" s="23"/>
      <c r="E7" s="23"/>
      <c r="G7" s="69"/>
    </row>
    <row r="8" spans="1:7" ht="16.5" thickTop="1" thickBot="1" x14ac:dyDescent="0.3">
      <c r="A8" s="37" t="s">
        <v>39</v>
      </c>
      <c r="B8" s="27">
        <f>VLOOKUP(A8,A2:B6,2,FALSE)</f>
        <v>100</v>
      </c>
      <c r="C8" s="20"/>
      <c r="D8" s="37" t="s">
        <v>42</v>
      </c>
      <c r="E8" s="27">
        <f>IFERROR(VLOOKUP(D8,D2:E6,2,FALSE),"")</f>
        <v>20</v>
      </c>
      <c r="G8" s="69"/>
    </row>
    <row r="9" spans="1:7" ht="15.75" thickTop="1" x14ac:dyDescent="0.25"/>
    <row r="11" spans="1:7" x14ac:dyDescent="0.25">
      <c r="A11" s="72" t="s">
        <v>93</v>
      </c>
      <c r="B11" s="72"/>
      <c r="C11" s="72"/>
      <c r="D11" s="72"/>
      <c r="E11" s="72"/>
      <c r="G11" s="68" t="s">
        <v>95</v>
      </c>
    </row>
    <row r="12" spans="1:7" x14ac:dyDescent="0.25">
      <c r="A12" s="72"/>
      <c r="B12" s="72"/>
      <c r="C12" s="72"/>
      <c r="D12" s="72"/>
      <c r="E12" s="72"/>
      <c r="G12" s="68"/>
    </row>
    <row r="13" spans="1:7" x14ac:dyDescent="0.25">
      <c r="G13" s="69" t="s">
        <v>94</v>
      </c>
    </row>
    <row r="14" spans="1:7" x14ac:dyDescent="0.25">
      <c r="A14" s="46" t="s">
        <v>92</v>
      </c>
      <c r="B14" s="46" t="s">
        <v>54</v>
      </c>
      <c r="C14" s="46" t="s">
        <v>89</v>
      </c>
      <c r="D14" s="46" t="s">
        <v>90</v>
      </c>
      <c r="E14" s="46" t="s">
        <v>91</v>
      </c>
      <c r="G14" s="69"/>
    </row>
    <row r="15" spans="1:7" x14ac:dyDescent="0.25">
      <c r="A15" s="48" t="s">
        <v>78</v>
      </c>
      <c r="B15" s="48">
        <v>10</v>
      </c>
      <c r="C15" s="48">
        <v>15</v>
      </c>
      <c r="D15" s="48">
        <v>20</v>
      </c>
      <c r="E15" s="48">
        <v>25</v>
      </c>
      <c r="G15" s="69"/>
    </row>
    <row r="16" spans="1:7" x14ac:dyDescent="0.25">
      <c r="G16" s="69"/>
    </row>
    <row r="17" spans="1:5" x14ac:dyDescent="0.25">
      <c r="B17" t="s">
        <v>54</v>
      </c>
    </row>
    <row r="18" spans="1:5" x14ac:dyDescent="0.25">
      <c r="A18" t="s">
        <v>78</v>
      </c>
      <c r="B18">
        <f>HLOOKUP(B17,A14:F15,2,0)</f>
        <v>10</v>
      </c>
    </row>
    <row r="20" spans="1:5" x14ac:dyDescent="0.25">
      <c r="A20" s="72" t="s">
        <v>96</v>
      </c>
      <c r="B20" s="72"/>
      <c r="C20" s="72"/>
      <c r="D20" s="72"/>
      <c r="E20" s="72"/>
    </row>
    <row r="21" spans="1:5" x14ac:dyDescent="0.25">
      <c r="A21" s="72"/>
      <c r="B21" s="72"/>
      <c r="C21" s="72"/>
      <c r="D21" s="72"/>
      <c r="E21" s="72"/>
    </row>
  </sheetData>
  <mergeCells count="6">
    <mergeCell ref="A20:E21"/>
    <mergeCell ref="G5:G8"/>
    <mergeCell ref="G3:G4"/>
    <mergeCell ref="A11:E12"/>
    <mergeCell ref="G11:G12"/>
    <mergeCell ref="G13:G16"/>
  </mergeCells>
  <dataValidations count="1">
    <dataValidation type="list" allowBlank="1" showInputMessage="1" showErrorMessage="1" sqref="D8 A8" xr:uid="{1660B1F0-83CB-4C0B-BFAC-D45286DFD81A}">
      <formula1>"Bread, Donuts, Cookies, Cakes,Pies"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62891-7EE9-4DF5-9F79-BB49FC355F1F}">
  <dimension ref="A1:K26"/>
  <sheetViews>
    <sheetView workbookViewId="0">
      <selection activeCell="D25" sqref="D25"/>
    </sheetView>
  </sheetViews>
  <sheetFormatPr defaultRowHeight="15" x14ac:dyDescent="0.25"/>
  <cols>
    <col min="1" max="1" width="15.5703125" bestFit="1" customWidth="1"/>
    <col min="2" max="2" width="11.85546875" bestFit="1" customWidth="1"/>
    <col min="3" max="3" width="7.5703125" bestFit="1" customWidth="1"/>
    <col min="6" max="6" width="42.42578125" bestFit="1" customWidth="1"/>
    <col min="7" max="7" width="36.7109375" bestFit="1" customWidth="1"/>
    <col min="8" max="8" width="10.28515625" bestFit="1" customWidth="1"/>
    <col min="9" max="9" width="10" bestFit="1" customWidth="1"/>
    <col min="10" max="11" width="7.28515625" bestFit="1" customWidth="1"/>
  </cols>
  <sheetData>
    <row r="1" spans="1:11" ht="15.75" thickBot="1" x14ac:dyDescent="0.3">
      <c r="A1" s="52" t="s">
        <v>97</v>
      </c>
      <c r="B1" s="52" t="s">
        <v>88</v>
      </c>
      <c r="C1" s="52" t="s">
        <v>98</v>
      </c>
      <c r="H1" s="6" t="s">
        <v>7</v>
      </c>
      <c r="I1" s="7" t="s">
        <v>8</v>
      </c>
      <c r="J1" s="7" t="s">
        <v>9</v>
      </c>
      <c r="K1" s="7" t="s">
        <v>10</v>
      </c>
    </row>
    <row r="2" spans="1:11" x14ac:dyDescent="0.25">
      <c r="A2" s="53">
        <v>301</v>
      </c>
      <c r="B2" s="53" t="s">
        <v>99</v>
      </c>
      <c r="C2" s="53" t="s">
        <v>100</v>
      </c>
      <c r="H2" s="8" t="s">
        <v>11</v>
      </c>
      <c r="I2" s="8">
        <v>2</v>
      </c>
      <c r="J2" s="9">
        <v>9.7607115856835538</v>
      </c>
      <c r="K2" s="16">
        <v>19.52</v>
      </c>
    </row>
    <row r="3" spans="1:11" ht="15.75" thickBot="1" x14ac:dyDescent="0.3">
      <c r="A3" s="53">
        <v>302</v>
      </c>
      <c r="B3" s="53" t="s">
        <v>101</v>
      </c>
      <c r="C3" s="53" t="s">
        <v>106</v>
      </c>
      <c r="H3" s="10" t="s">
        <v>12</v>
      </c>
      <c r="I3" s="10">
        <v>3</v>
      </c>
      <c r="J3" s="11">
        <v>3.4189202461080024</v>
      </c>
      <c r="K3" s="11">
        <v>10.26</v>
      </c>
    </row>
    <row r="4" spans="1:11" x14ac:dyDescent="0.25">
      <c r="A4" s="53">
        <v>303</v>
      </c>
      <c r="B4" s="53" t="s">
        <v>102</v>
      </c>
      <c r="C4" s="53" t="s">
        <v>100</v>
      </c>
      <c r="H4" s="12"/>
      <c r="I4" s="12"/>
      <c r="J4" s="12"/>
      <c r="K4" s="12"/>
    </row>
    <row r="5" spans="1:11" x14ac:dyDescent="0.25">
      <c r="A5" s="53">
        <v>304</v>
      </c>
      <c r="B5" s="53" t="s">
        <v>103</v>
      </c>
      <c r="C5" s="53" t="s">
        <v>100</v>
      </c>
      <c r="F5" s="54" t="s">
        <v>104</v>
      </c>
      <c r="G5" s="55"/>
      <c r="H5" s="12"/>
      <c r="I5" s="12" t="s">
        <v>13</v>
      </c>
      <c r="J5" s="13">
        <v>13.18</v>
      </c>
      <c r="K5" s="13">
        <v>29.78</v>
      </c>
    </row>
    <row r="6" spans="1:11" ht="15.75" thickBot="1" x14ac:dyDescent="0.3">
      <c r="A6" s="53">
        <v>305</v>
      </c>
      <c r="B6" s="53" t="s">
        <v>105</v>
      </c>
      <c r="C6" s="56" t="s">
        <v>106</v>
      </c>
      <c r="F6" s="55" t="s">
        <v>107</v>
      </c>
      <c r="G6" s="55" t="s">
        <v>119</v>
      </c>
      <c r="H6" s="12"/>
      <c r="I6" s="12"/>
      <c r="J6" s="12"/>
      <c r="K6" s="12"/>
    </row>
    <row r="7" spans="1:11" ht="16.5" thickTop="1" thickBot="1" x14ac:dyDescent="0.3">
      <c r="A7" s="53">
        <v>306</v>
      </c>
      <c r="B7" s="53" t="s">
        <v>108</v>
      </c>
      <c r="C7" s="53" t="s">
        <v>100</v>
      </c>
      <c r="F7" s="55" t="s">
        <v>109</v>
      </c>
      <c r="G7" s="55" t="s">
        <v>118</v>
      </c>
      <c r="H7" s="12"/>
      <c r="I7" s="12" t="s">
        <v>14</v>
      </c>
      <c r="J7" s="14" t="s">
        <v>15</v>
      </c>
      <c r="K7" s="15">
        <f>IF(J7="Yes",K5*SalesTax,0)</f>
        <v>2.4568500000000002</v>
      </c>
    </row>
    <row r="8" spans="1:11" ht="16.5" thickTop="1" thickBot="1" x14ac:dyDescent="0.3">
      <c r="A8" s="53">
        <v>307</v>
      </c>
      <c r="B8" s="53" t="s">
        <v>110</v>
      </c>
      <c r="C8" s="53" t="s">
        <v>100</v>
      </c>
      <c r="F8" s="55" t="s">
        <v>111</v>
      </c>
      <c r="G8" s="55" t="s">
        <v>120</v>
      </c>
      <c r="H8" s="12"/>
      <c r="I8" s="12"/>
      <c r="J8" s="12"/>
      <c r="K8" s="12"/>
    </row>
    <row r="9" spans="1:11" ht="16.5" thickTop="1" thickBot="1" x14ac:dyDescent="0.3">
      <c r="A9" s="53">
        <v>308</v>
      </c>
      <c r="B9" s="53" t="s">
        <v>112</v>
      </c>
      <c r="C9" s="56" t="s">
        <v>106</v>
      </c>
      <c r="H9" s="12"/>
      <c r="I9" s="12" t="s">
        <v>16</v>
      </c>
      <c r="J9" s="14" t="s">
        <v>15</v>
      </c>
      <c r="K9" s="15">
        <f>IF(J9="Yes",SUM(I2:I3)*1.25,0)</f>
        <v>6.25</v>
      </c>
    </row>
    <row r="10" spans="1:11" ht="15.75" thickTop="1" x14ac:dyDescent="0.25">
      <c r="A10" s="53">
        <v>309</v>
      </c>
      <c r="B10" s="53" t="s">
        <v>113</v>
      </c>
      <c r="C10" s="53" t="s">
        <v>100</v>
      </c>
      <c r="F10" s="57"/>
    </row>
    <row r="11" spans="1:11" x14ac:dyDescent="0.25">
      <c r="A11" s="53">
        <v>310</v>
      </c>
      <c r="B11" s="53" t="s">
        <v>114</v>
      </c>
      <c r="C11" s="53" t="s">
        <v>100</v>
      </c>
      <c r="I11" s="12" t="s">
        <v>10</v>
      </c>
      <c r="J11" s="12"/>
      <c r="K11" s="13">
        <f>SUM(K7,K5,K9)</f>
        <v>38.486850000000004</v>
      </c>
    </row>
    <row r="13" spans="1:11" x14ac:dyDescent="0.25">
      <c r="A13" s="73" t="s">
        <v>115</v>
      </c>
      <c r="B13" s="73"/>
      <c r="C13" s="73"/>
    </row>
    <row r="14" spans="1:11" x14ac:dyDescent="0.25">
      <c r="A14" t="s">
        <v>88</v>
      </c>
      <c r="B14" s="58"/>
    </row>
    <row r="15" spans="1:11" x14ac:dyDescent="0.25">
      <c r="A15" t="s">
        <v>73</v>
      </c>
      <c r="B15" t="s">
        <v>73</v>
      </c>
    </row>
    <row r="16" spans="1:11" x14ac:dyDescent="0.25">
      <c r="A16" t="s">
        <v>74</v>
      </c>
      <c r="B16" t="s">
        <v>74</v>
      </c>
    </row>
    <row r="17" spans="1:5" x14ac:dyDescent="0.25">
      <c r="A17" t="s">
        <v>116</v>
      </c>
      <c r="B17" t="s">
        <v>116</v>
      </c>
      <c r="E17" t="s">
        <v>54</v>
      </c>
    </row>
    <row r="18" spans="1:5" x14ac:dyDescent="0.25">
      <c r="A18" t="s">
        <v>117</v>
      </c>
      <c r="B18" t="s">
        <v>117</v>
      </c>
      <c r="E18" t="s">
        <v>89</v>
      </c>
    </row>
    <row r="19" spans="1:5" x14ac:dyDescent="0.25">
      <c r="A19" t="s">
        <v>73</v>
      </c>
      <c r="B19" t="s">
        <v>73</v>
      </c>
    </row>
    <row r="20" spans="1:5" x14ac:dyDescent="0.25">
      <c r="A20" t="s">
        <v>116</v>
      </c>
      <c r="B20" t="s">
        <v>116</v>
      </c>
    </row>
    <row r="25" spans="1:5" x14ac:dyDescent="0.25">
      <c r="A25" s="63" t="s">
        <v>285</v>
      </c>
    </row>
    <row r="26" spans="1:5" x14ac:dyDescent="0.25">
      <c r="A26">
        <v>9927861197</v>
      </c>
    </row>
  </sheetData>
  <mergeCells count="1">
    <mergeCell ref="A13:C13"/>
  </mergeCells>
  <conditionalFormatting sqref="A14:A20">
    <cfRule type="duplicateValues" dxfId="6" priority="3"/>
  </conditionalFormatting>
  <conditionalFormatting sqref="C2:C11">
    <cfRule type="cellIs" dxfId="5" priority="4" operator="equal">
      <formula>"Apsent"</formula>
    </cfRule>
    <cfRule type="cellIs" dxfId="4" priority="5" operator="equal">
      <formula>"Present"</formula>
    </cfRule>
  </conditionalFormatting>
  <dataValidations count="3">
    <dataValidation type="list" allowBlank="1" showInputMessage="1" showErrorMessage="1" sqref="C2:C11" xr:uid="{8C8E72C1-F3E5-4C54-8AB8-3C559B35D555}">
      <formula1>"Present, Apsent"</formula1>
    </dataValidation>
    <dataValidation type="list" allowBlank="1" showInputMessage="1" showErrorMessage="1" sqref="J7 J9" xr:uid="{C25B17B8-AB5C-4F4F-93E4-833A1062E8C1}">
      <formula1>"Yes,No"</formula1>
    </dataValidation>
    <dataValidation type="textLength" allowBlank="1" showInputMessage="1" showErrorMessage="1" errorTitle="Warning" error="Please enter 10 digit Number" sqref="A26:A36" xr:uid="{66D92103-7163-4AD3-9E7E-09E32E4B1FBB}">
      <formula1>10</formula1>
      <formula2>10</formula2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F3C37-E9B8-4FF9-A8FD-F9841B2399AD}">
  <dimension ref="A1:K21"/>
  <sheetViews>
    <sheetView workbookViewId="0">
      <selection activeCell="M14" sqref="M14"/>
    </sheetView>
  </sheetViews>
  <sheetFormatPr defaultRowHeight="15" x14ac:dyDescent="0.25"/>
  <cols>
    <col min="1" max="1" width="7.7109375" bestFit="1" customWidth="1"/>
    <col min="2" max="2" width="14.28515625" bestFit="1" customWidth="1"/>
    <col min="3" max="4" width="11.7109375" bestFit="1" customWidth="1"/>
    <col min="5" max="7" width="7" bestFit="1" customWidth="1"/>
    <col min="8" max="8" width="6.5703125" bestFit="1" customWidth="1"/>
    <col min="10" max="10" width="27" bestFit="1" customWidth="1"/>
    <col min="11" max="11" width="12.140625" bestFit="1" customWidth="1"/>
  </cols>
  <sheetData>
    <row r="1" spans="1:11" x14ac:dyDescent="0.25">
      <c r="A1" s="62" t="s">
        <v>217</v>
      </c>
      <c r="B1" s="62" t="s">
        <v>88</v>
      </c>
      <c r="C1" s="62" t="s">
        <v>218</v>
      </c>
      <c r="D1" s="62" t="s">
        <v>219</v>
      </c>
      <c r="E1" s="62" t="s">
        <v>220</v>
      </c>
      <c r="F1" s="62" t="s">
        <v>78</v>
      </c>
      <c r="G1" s="62" t="s">
        <v>221</v>
      </c>
      <c r="H1" s="62" t="s">
        <v>222</v>
      </c>
    </row>
    <row r="2" spans="1:11" x14ac:dyDescent="0.25">
      <c r="A2" s="1" t="s">
        <v>223</v>
      </c>
      <c r="B2" s="1" t="s">
        <v>224</v>
      </c>
      <c r="C2" s="1" t="s">
        <v>78</v>
      </c>
      <c r="D2" s="1" t="s">
        <v>135</v>
      </c>
      <c r="E2" s="1" t="s">
        <v>54</v>
      </c>
      <c r="F2" s="1">
        <v>120000</v>
      </c>
      <c r="G2" s="1">
        <v>100000</v>
      </c>
      <c r="H2" s="1" t="s">
        <v>225</v>
      </c>
    </row>
    <row r="3" spans="1:11" x14ac:dyDescent="0.25">
      <c r="A3" s="1" t="s">
        <v>226</v>
      </c>
      <c r="B3" s="1" t="s">
        <v>227</v>
      </c>
      <c r="C3" s="1" t="s">
        <v>78</v>
      </c>
      <c r="D3" s="1" t="s">
        <v>139</v>
      </c>
      <c r="E3" s="1" t="s">
        <v>54</v>
      </c>
      <c r="F3" s="1">
        <v>90000</v>
      </c>
      <c r="G3" s="1">
        <v>100000</v>
      </c>
      <c r="H3" s="1" t="s">
        <v>228</v>
      </c>
      <c r="J3" s="74" t="s">
        <v>269</v>
      </c>
      <c r="K3" s="74"/>
    </row>
    <row r="4" spans="1:11" x14ac:dyDescent="0.25">
      <c r="A4" s="1" t="s">
        <v>229</v>
      </c>
      <c r="B4" s="1" t="s">
        <v>230</v>
      </c>
      <c r="C4" s="1" t="s">
        <v>231</v>
      </c>
      <c r="D4" s="1" t="s">
        <v>135</v>
      </c>
      <c r="E4" s="1" t="s">
        <v>54</v>
      </c>
      <c r="F4" s="1">
        <v>0</v>
      </c>
      <c r="G4" s="1">
        <v>0</v>
      </c>
      <c r="H4" s="1" t="s">
        <v>225</v>
      </c>
      <c r="J4" s="1" t="s">
        <v>244</v>
      </c>
      <c r="K4" s="1">
        <f>INDEX(F2:F21,MATCH(J4,A2:A21,0))</f>
        <v>175000</v>
      </c>
    </row>
    <row r="5" spans="1:11" x14ac:dyDescent="0.25">
      <c r="A5" s="1" t="s">
        <v>232</v>
      </c>
      <c r="B5" s="1" t="s">
        <v>233</v>
      </c>
      <c r="C5" s="1" t="s">
        <v>234</v>
      </c>
      <c r="D5" s="1" t="s">
        <v>136</v>
      </c>
      <c r="E5" s="1" t="s">
        <v>54</v>
      </c>
      <c r="F5" s="1">
        <v>0</v>
      </c>
      <c r="G5" s="1">
        <v>0</v>
      </c>
      <c r="H5" s="1" t="s">
        <v>225</v>
      </c>
      <c r="J5" s="1" t="s">
        <v>252</v>
      </c>
      <c r="K5" s="1">
        <f>INDEX(F3:F22,MATCH("E013",A3:A22,0))</f>
        <v>160000</v>
      </c>
    </row>
    <row r="6" spans="1:11" x14ac:dyDescent="0.25">
      <c r="A6" s="1" t="s">
        <v>235</v>
      </c>
      <c r="B6" s="1" t="s">
        <v>236</v>
      </c>
      <c r="C6" s="1" t="s">
        <v>78</v>
      </c>
      <c r="D6" s="1" t="s">
        <v>237</v>
      </c>
      <c r="E6" s="1" t="s">
        <v>89</v>
      </c>
      <c r="F6" s="1">
        <v>150000</v>
      </c>
      <c r="G6" s="1">
        <v>120000</v>
      </c>
      <c r="H6" s="1" t="s">
        <v>225</v>
      </c>
    </row>
    <row r="7" spans="1:11" x14ac:dyDescent="0.25">
      <c r="A7" s="1" t="s">
        <v>238</v>
      </c>
      <c r="B7" s="1" t="s">
        <v>239</v>
      </c>
      <c r="C7" s="1" t="s">
        <v>234</v>
      </c>
      <c r="D7" s="1" t="s">
        <v>135</v>
      </c>
      <c r="E7" s="1" t="s">
        <v>89</v>
      </c>
      <c r="F7" s="1">
        <v>0</v>
      </c>
      <c r="G7" s="1">
        <v>0</v>
      </c>
      <c r="H7" s="1" t="s">
        <v>228</v>
      </c>
    </row>
    <row r="8" spans="1:11" x14ac:dyDescent="0.25">
      <c r="A8" s="1" t="s">
        <v>240</v>
      </c>
      <c r="B8" s="1" t="s">
        <v>241</v>
      </c>
      <c r="C8" s="1" t="s">
        <v>78</v>
      </c>
      <c r="D8" s="1" t="s">
        <v>139</v>
      </c>
      <c r="E8" s="1" t="s">
        <v>89</v>
      </c>
      <c r="F8" s="1">
        <v>110000</v>
      </c>
      <c r="G8" s="1">
        <v>120000</v>
      </c>
      <c r="H8" s="1" t="s">
        <v>228</v>
      </c>
      <c r="J8" s="74" t="s">
        <v>270</v>
      </c>
      <c r="K8" s="74"/>
    </row>
    <row r="9" spans="1:11" x14ac:dyDescent="0.25">
      <c r="A9" s="1" t="s">
        <v>242</v>
      </c>
      <c r="B9" s="1" t="s">
        <v>243</v>
      </c>
      <c r="C9" s="1" t="s">
        <v>231</v>
      </c>
      <c r="D9" s="1" t="s">
        <v>136</v>
      </c>
      <c r="E9" s="1" t="s">
        <v>89</v>
      </c>
      <c r="F9" s="1">
        <v>0</v>
      </c>
      <c r="G9" s="1">
        <v>0</v>
      </c>
      <c r="H9" s="1" t="s">
        <v>225</v>
      </c>
      <c r="J9" s="1" t="s">
        <v>247</v>
      </c>
      <c r="K9" s="1" t="str">
        <f>INDEX(C2:C21,MATCH("Pooja Nair",B2:B21,0))</f>
        <v>IT</v>
      </c>
    </row>
    <row r="10" spans="1:11" x14ac:dyDescent="0.25">
      <c r="A10" s="1" t="s">
        <v>244</v>
      </c>
      <c r="B10" s="1" t="s">
        <v>245</v>
      </c>
      <c r="C10" s="1" t="s">
        <v>78</v>
      </c>
      <c r="D10" s="1" t="s">
        <v>135</v>
      </c>
      <c r="E10" s="1" t="s">
        <v>90</v>
      </c>
      <c r="F10" s="1">
        <v>175000</v>
      </c>
      <c r="G10" s="1">
        <v>150000</v>
      </c>
      <c r="H10" s="1" t="s">
        <v>225</v>
      </c>
      <c r="J10" s="1" t="s">
        <v>266</v>
      </c>
      <c r="K10" s="1" t="str">
        <f>INDEX(C3:C22,MATCH("Akash Verma",B3:B22,0))</f>
        <v>Sales</v>
      </c>
    </row>
    <row r="11" spans="1:11" x14ac:dyDescent="0.25">
      <c r="A11" s="1" t="s">
        <v>246</v>
      </c>
      <c r="B11" s="1" t="s">
        <v>247</v>
      </c>
      <c r="C11" s="1" t="s">
        <v>234</v>
      </c>
      <c r="D11" s="1" t="s">
        <v>139</v>
      </c>
      <c r="E11" s="1" t="s">
        <v>90</v>
      </c>
      <c r="F11" s="1">
        <v>0</v>
      </c>
      <c r="G11" s="1">
        <v>0</v>
      </c>
      <c r="H11" s="1" t="s">
        <v>225</v>
      </c>
    </row>
    <row r="12" spans="1:11" x14ac:dyDescent="0.25">
      <c r="A12" s="1" t="s">
        <v>248</v>
      </c>
      <c r="B12" s="1" t="s">
        <v>249</v>
      </c>
      <c r="C12" s="1" t="s">
        <v>78</v>
      </c>
      <c r="D12" s="1" t="s">
        <v>136</v>
      </c>
      <c r="E12" s="1" t="s">
        <v>90</v>
      </c>
      <c r="F12" s="1">
        <v>130000</v>
      </c>
      <c r="G12" s="1">
        <v>150000</v>
      </c>
      <c r="H12" s="1" t="s">
        <v>228</v>
      </c>
      <c r="J12" s="74" t="s">
        <v>271</v>
      </c>
      <c r="K12" s="74"/>
    </row>
    <row r="13" spans="1:11" x14ac:dyDescent="0.25">
      <c r="A13" s="1" t="s">
        <v>250</v>
      </c>
      <c r="B13" s="1" t="s">
        <v>251</v>
      </c>
      <c r="C13" s="1" t="s">
        <v>231</v>
      </c>
      <c r="D13" s="1" t="s">
        <v>237</v>
      </c>
      <c r="E13" s="1" t="s">
        <v>90</v>
      </c>
      <c r="F13" s="1">
        <v>0</v>
      </c>
      <c r="G13" s="1">
        <v>0</v>
      </c>
      <c r="H13" s="1" t="s">
        <v>225</v>
      </c>
      <c r="J13" s="1" t="s">
        <v>275</v>
      </c>
      <c r="K13" s="1" t="str">
        <f>INDEX(B2:B21,5)</f>
        <v>Karan Patel</v>
      </c>
    </row>
    <row r="14" spans="1:11" x14ac:dyDescent="0.25">
      <c r="A14" s="1" t="s">
        <v>252</v>
      </c>
      <c r="B14" s="1" t="s">
        <v>253</v>
      </c>
      <c r="C14" s="1" t="s">
        <v>78</v>
      </c>
      <c r="D14" s="1" t="s">
        <v>135</v>
      </c>
      <c r="E14" s="1" t="s">
        <v>91</v>
      </c>
      <c r="F14" s="1">
        <v>160000</v>
      </c>
      <c r="G14" s="1">
        <v>150000</v>
      </c>
      <c r="H14" s="1" t="s">
        <v>225</v>
      </c>
      <c r="J14" s="1" t="s">
        <v>276</v>
      </c>
      <c r="K14" s="1" t="str">
        <f>INDEX(B2:B21,9)</f>
        <v>Suresh Yadav</v>
      </c>
    </row>
    <row r="15" spans="1:11" x14ac:dyDescent="0.25">
      <c r="A15" s="1" t="s">
        <v>254</v>
      </c>
      <c r="B15" s="1" t="s">
        <v>255</v>
      </c>
      <c r="C15" s="1" t="s">
        <v>234</v>
      </c>
      <c r="D15" s="1" t="s">
        <v>136</v>
      </c>
      <c r="E15" s="1" t="s">
        <v>91</v>
      </c>
      <c r="F15" s="1">
        <v>0</v>
      </c>
      <c r="G15" s="1">
        <v>0</v>
      </c>
      <c r="H15" s="1" t="s">
        <v>225</v>
      </c>
    </row>
    <row r="16" spans="1:11" x14ac:dyDescent="0.25">
      <c r="A16" s="1" t="s">
        <v>256</v>
      </c>
      <c r="B16" s="1" t="s">
        <v>257</v>
      </c>
      <c r="C16" s="1" t="s">
        <v>78</v>
      </c>
      <c r="D16" s="1" t="s">
        <v>139</v>
      </c>
      <c r="E16" s="1" t="s">
        <v>91</v>
      </c>
      <c r="F16" s="1">
        <v>140000</v>
      </c>
      <c r="G16" s="1">
        <v>150000</v>
      </c>
      <c r="H16" s="1" t="s">
        <v>228</v>
      </c>
      <c r="J16" s="74" t="s">
        <v>272</v>
      </c>
      <c r="K16" s="74"/>
    </row>
    <row r="17" spans="1:11" x14ac:dyDescent="0.25">
      <c r="A17" s="1" t="s">
        <v>258</v>
      </c>
      <c r="B17" s="1" t="s">
        <v>259</v>
      </c>
      <c r="C17" s="1" t="s">
        <v>231</v>
      </c>
      <c r="D17" s="1" t="s">
        <v>135</v>
      </c>
      <c r="E17" s="1" t="s">
        <v>91</v>
      </c>
      <c r="F17" s="1">
        <v>0</v>
      </c>
      <c r="G17" s="1">
        <v>0</v>
      </c>
      <c r="H17" s="1" t="s">
        <v>225</v>
      </c>
      <c r="J17" s="1" t="s">
        <v>273</v>
      </c>
      <c r="K17" s="1">
        <f>MATCH("E009",A2:A21,0)</f>
        <v>9</v>
      </c>
    </row>
    <row r="18" spans="1:11" x14ac:dyDescent="0.25">
      <c r="A18" s="1" t="s">
        <v>260</v>
      </c>
      <c r="B18" s="1" t="s">
        <v>261</v>
      </c>
      <c r="C18" s="1" t="s">
        <v>78</v>
      </c>
      <c r="D18" s="1" t="s">
        <v>237</v>
      </c>
      <c r="E18" s="1" t="s">
        <v>262</v>
      </c>
      <c r="F18" s="1">
        <v>155000</v>
      </c>
      <c r="G18" s="1">
        <v>150000</v>
      </c>
      <c r="H18" s="1" t="s">
        <v>225</v>
      </c>
      <c r="J18" s="1" t="s">
        <v>274</v>
      </c>
      <c r="K18" s="1">
        <f>MATCH("Pooja Nair",B2:B21,0)</f>
        <v>10</v>
      </c>
    </row>
    <row r="19" spans="1:11" x14ac:dyDescent="0.25">
      <c r="A19" s="1" t="s">
        <v>263</v>
      </c>
      <c r="B19" s="1" t="s">
        <v>264</v>
      </c>
      <c r="C19" s="1" t="s">
        <v>234</v>
      </c>
      <c r="D19" s="1" t="s">
        <v>139</v>
      </c>
      <c r="E19" s="1" t="s">
        <v>262</v>
      </c>
      <c r="F19" s="1">
        <v>0</v>
      </c>
      <c r="G19" s="1">
        <v>0</v>
      </c>
      <c r="H19" s="1" t="s">
        <v>228</v>
      </c>
    </row>
    <row r="20" spans="1:11" x14ac:dyDescent="0.25">
      <c r="A20" s="1" t="s">
        <v>265</v>
      </c>
      <c r="B20" s="1" t="s">
        <v>266</v>
      </c>
      <c r="C20" s="1" t="s">
        <v>78</v>
      </c>
      <c r="D20" s="1" t="s">
        <v>136</v>
      </c>
      <c r="E20" s="1" t="s">
        <v>262</v>
      </c>
      <c r="F20" s="1">
        <v>135000</v>
      </c>
      <c r="G20" s="1">
        <v>150000</v>
      </c>
      <c r="H20" s="1" t="s">
        <v>228</v>
      </c>
    </row>
    <row r="21" spans="1:11" x14ac:dyDescent="0.25">
      <c r="A21" s="1" t="s">
        <v>267</v>
      </c>
      <c r="B21" s="1" t="s">
        <v>268</v>
      </c>
      <c r="C21" s="1" t="s">
        <v>231</v>
      </c>
      <c r="D21" s="1" t="s">
        <v>237</v>
      </c>
      <c r="E21" s="1" t="s">
        <v>262</v>
      </c>
      <c r="F21" s="1">
        <v>0</v>
      </c>
      <c r="G21" s="1">
        <v>0</v>
      </c>
      <c r="H21" s="1" t="s">
        <v>225</v>
      </c>
    </row>
  </sheetData>
  <mergeCells count="4">
    <mergeCell ref="J3:K3"/>
    <mergeCell ref="J8:K8"/>
    <mergeCell ref="J12:K12"/>
    <mergeCell ref="J16:K16"/>
  </mergeCells>
  <pageMargins left="0.7" right="0.7" top="0.75" bottom="0.75" header="0.3" footer="0.3"/>
  <ignoredErrors>
    <ignoredError sqref="K5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B8943-6589-427A-9AF7-69B4FE0B18E9}">
  <dimension ref="A1:K35"/>
  <sheetViews>
    <sheetView tabSelected="1" workbookViewId="0">
      <selection activeCell="J10" sqref="J10"/>
    </sheetView>
  </sheetViews>
  <sheetFormatPr defaultRowHeight="15" x14ac:dyDescent="0.25"/>
  <cols>
    <col min="1" max="1" width="14.140625" bestFit="1" customWidth="1"/>
    <col min="2" max="2" width="10.42578125" bestFit="1" customWidth="1"/>
    <col min="3" max="3" width="22.85546875" bestFit="1" customWidth="1"/>
    <col min="4" max="4" width="11.28515625" bestFit="1" customWidth="1"/>
    <col min="5" max="5" width="10.5703125" bestFit="1" customWidth="1"/>
    <col min="6" max="6" width="14.42578125" bestFit="1" customWidth="1"/>
    <col min="7" max="7" width="11" bestFit="1" customWidth="1"/>
    <col min="8" max="8" width="10" bestFit="1" customWidth="1"/>
    <col min="11" max="11" width="40.42578125" bestFit="1" customWidth="1"/>
  </cols>
  <sheetData>
    <row r="1" spans="1:11" x14ac:dyDescent="0.25">
      <c r="A1" s="62" t="s">
        <v>121</v>
      </c>
      <c r="B1" s="62" t="s">
        <v>75</v>
      </c>
      <c r="C1" s="62" t="s">
        <v>124</v>
      </c>
      <c r="D1" s="62" t="s">
        <v>122</v>
      </c>
      <c r="E1" s="62" t="s">
        <v>123</v>
      </c>
      <c r="F1" s="62" t="s">
        <v>125</v>
      </c>
      <c r="G1" s="62" t="s">
        <v>126</v>
      </c>
      <c r="H1" s="62" t="s">
        <v>127</v>
      </c>
    </row>
    <row r="2" spans="1:11" x14ac:dyDescent="0.25">
      <c r="A2" s="1" t="s">
        <v>128</v>
      </c>
      <c r="B2" s="60">
        <v>45992</v>
      </c>
      <c r="C2" s="61" t="s">
        <v>174</v>
      </c>
      <c r="D2" s="1" t="s">
        <v>129</v>
      </c>
      <c r="E2" s="1">
        <v>5</v>
      </c>
      <c r="F2" s="1">
        <v>8099</v>
      </c>
      <c r="G2" s="1">
        <f t="shared" ref="G2:G35" si="0">E2*F2</f>
        <v>40495</v>
      </c>
      <c r="H2" s="1" t="s">
        <v>135</v>
      </c>
    </row>
    <row r="3" spans="1:11" x14ac:dyDescent="0.25">
      <c r="A3" s="1" t="s">
        <v>141</v>
      </c>
      <c r="B3" s="60">
        <v>45993</v>
      </c>
      <c r="C3" s="61" t="s">
        <v>175</v>
      </c>
      <c r="D3" s="1" t="s">
        <v>130</v>
      </c>
      <c r="E3" s="1">
        <v>20</v>
      </c>
      <c r="F3" s="1">
        <v>1999</v>
      </c>
      <c r="G3" s="1">
        <f t="shared" si="0"/>
        <v>39980</v>
      </c>
      <c r="H3" s="1" t="s">
        <v>136</v>
      </c>
      <c r="K3" t="s">
        <v>209</v>
      </c>
    </row>
    <row r="4" spans="1:11" x14ac:dyDescent="0.25">
      <c r="A4" s="1" t="s">
        <v>142</v>
      </c>
      <c r="B4" s="60">
        <v>45994</v>
      </c>
      <c r="C4" s="61" t="s">
        <v>176</v>
      </c>
      <c r="D4" s="1" t="s">
        <v>131</v>
      </c>
      <c r="E4" s="1">
        <v>25</v>
      </c>
      <c r="F4" s="1">
        <v>899</v>
      </c>
      <c r="G4" s="1">
        <f t="shared" si="0"/>
        <v>22475</v>
      </c>
      <c r="H4" s="1" t="s">
        <v>137</v>
      </c>
      <c r="K4" t="s">
        <v>208</v>
      </c>
    </row>
    <row r="5" spans="1:11" x14ac:dyDescent="0.25">
      <c r="A5" s="1" t="s">
        <v>143</v>
      </c>
      <c r="B5" s="60">
        <v>45995</v>
      </c>
      <c r="C5" s="61" t="s">
        <v>177</v>
      </c>
      <c r="D5" s="1" t="s">
        <v>132</v>
      </c>
      <c r="E5" s="1">
        <v>50</v>
      </c>
      <c r="F5" s="1">
        <v>2999</v>
      </c>
      <c r="G5" s="1">
        <f t="shared" si="0"/>
        <v>149950</v>
      </c>
      <c r="H5" s="1" t="s">
        <v>138</v>
      </c>
    </row>
    <row r="6" spans="1:11" x14ac:dyDescent="0.25">
      <c r="A6" s="1" t="s">
        <v>144</v>
      </c>
      <c r="B6" s="60">
        <v>45996</v>
      </c>
      <c r="C6" s="61" t="s">
        <v>178</v>
      </c>
      <c r="D6" s="1" t="s">
        <v>133</v>
      </c>
      <c r="E6" s="1">
        <v>10</v>
      </c>
      <c r="F6" s="1">
        <v>14999</v>
      </c>
      <c r="G6" s="1">
        <f t="shared" si="0"/>
        <v>149990</v>
      </c>
      <c r="H6" s="1" t="s">
        <v>139</v>
      </c>
    </row>
    <row r="7" spans="1:11" x14ac:dyDescent="0.25">
      <c r="A7" s="1" t="s">
        <v>145</v>
      </c>
      <c r="B7" s="60">
        <v>45997</v>
      </c>
      <c r="C7" s="61" t="s">
        <v>179</v>
      </c>
      <c r="D7" s="1" t="s">
        <v>134</v>
      </c>
      <c r="E7" s="1">
        <v>15</v>
      </c>
      <c r="F7" s="1">
        <v>69999</v>
      </c>
      <c r="G7" s="1">
        <f t="shared" si="0"/>
        <v>1049985</v>
      </c>
      <c r="H7" s="1" t="s">
        <v>140</v>
      </c>
    </row>
    <row r="8" spans="1:11" x14ac:dyDescent="0.25">
      <c r="A8" s="1" t="s">
        <v>146</v>
      </c>
      <c r="B8" s="60">
        <v>45998</v>
      </c>
      <c r="C8" s="61" t="s">
        <v>180</v>
      </c>
      <c r="D8" s="1" t="s">
        <v>129</v>
      </c>
      <c r="E8" s="1">
        <v>23</v>
      </c>
      <c r="F8" s="1">
        <v>8099</v>
      </c>
      <c r="G8" s="1">
        <f t="shared" si="0"/>
        <v>186277</v>
      </c>
      <c r="H8" s="1" t="s">
        <v>138</v>
      </c>
    </row>
    <row r="9" spans="1:11" x14ac:dyDescent="0.25">
      <c r="A9" s="1" t="s">
        <v>147</v>
      </c>
      <c r="B9" s="60">
        <v>45999</v>
      </c>
      <c r="C9" s="61" t="s">
        <v>181</v>
      </c>
      <c r="D9" s="1" t="s">
        <v>134</v>
      </c>
      <c r="E9" s="1">
        <v>14</v>
      </c>
      <c r="F9" s="1">
        <v>69999</v>
      </c>
      <c r="G9" s="1">
        <f t="shared" si="0"/>
        <v>979986</v>
      </c>
      <c r="H9" s="1" t="s">
        <v>137</v>
      </c>
    </row>
    <row r="10" spans="1:11" x14ac:dyDescent="0.25">
      <c r="A10" s="1" t="s">
        <v>148</v>
      </c>
      <c r="B10" s="60">
        <v>46000</v>
      </c>
      <c r="C10" s="61" t="s">
        <v>182</v>
      </c>
      <c r="D10" s="1" t="s">
        <v>132</v>
      </c>
      <c r="E10" s="1">
        <v>21</v>
      </c>
      <c r="F10" s="1">
        <v>2999</v>
      </c>
      <c r="G10" s="1">
        <f t="shared" si="0"/>
        <v>62979</v>
      </c>
      <c r="H10" s="1" t="s">
        <v>137</v>
      </c>
    </row>
    <row r="11" spans="1:11" x14ac:dyDescent="0.25">
      <c r="A11" s="1" t="s">
        <v>149</v>
      </c>
      <c r="B11" s="60">
        <v>46001</v>
      </c>
      <c r="C11" s="61" t="s">
        <v>183</v>
      </c>
      <c r="D11" s="1" t="s">
        <v>130</v>
      </c>
      <c r="E11" s="1">
        <v>18</v>
      </c>
      <c r="F11" s="1">
        <v>1999</v>
      </c>
      <c r="G11" s="1">
        <f t="shared" si="0"/>
        <v>35982</v>
      </c>
      <c r="H11" s="1" t="s">
        <v>136</v>
      </c>
    </row>
    <row r="12" spans="1:11" x14ac:dyDescent="0.25">
      <c r="A12" s="1" t="s">
        <v>150</v>
      </c>
      <c r="B12" s="60">
        <v>46002</v>
      </c>
      <c r="C12" s="61" t="s">
        <v>184</v>
      </c>
      <c r="D12" s="1" t="s">
        <v>131</v>
      </c>
      <c r="E12" s="1">
        <v>14</v>
      </c>
      <c r="F12" s="1">
        <v>899</v>
      </c>
      <c r="G12" s="1">
        <f t="shared" si="0"/>
        <v>12586</v>
      </c>
      <c r="H12" s="1" t="s">
        <v>136</v>
      </c>
    </row>
    <row r="13" spans="1:11" x14ac:dyDescent="0.25">
      <c r="A13" s="1" t="s">
        <v>151</v>
      </c>
      <c r="B13" s="60">
        <v>46003</v>
      </c>
      <c r="C13" s="61" t="s">
        <v>185</v>
      </c>
      <c r="D13" s="1" t="s">
        <v>129</v>
      </c>
      <c r="E13" s="1">
        <v>20</v>
      </c>
      <c r="F13" s="1">
        <v>8099</v>
      </c>
      <c r="G13" s="1">
        <f t="shared" si="0"/>
        <v>161980</v>
      </c>
      <c r="H13" s="1" t="s">
        <v>136</v>
      </c>
    </row>
    <row r="14" spans="1:11" x14ac:dyDescent="0.25">
      <c r="A14" s="1" t="s">
        <v>152</v>
      </c>
      <c r="B14" s="60">
        <v>46004</v>
      </c>
      <c r="C14" s="61" t="s">
        <v>186</v>
      </c>
      <c r="D14" s="1" t="s">
        <v>134</v>
      </c>
      <c r="E14" s="1">
        <v>19</v>
      </c>
      <c r="F14" s="1">
        <v>69999</v>
      </c>
      <c r="G14" s="1">
        <f t="shared" si="0"/>
        <v>1329981</v>
      </c>
      <c r="H14" s="1" t="s">
        <v>138</v>
      </c>
    </row>
    <row r="15" spans="1:11" x14ac:dyDescent="0.25">
      <c r="A15" s="1" t="s">
        <v>153</v>
      </c>
      <c r="B15" s="60">
        <v>46005</v>
      </c>
      <c r="C15" s="61" t="s">
        <v>187</v>
      </c>
      <c r="D15" s="1" t="s">
        <v>132</v>
      </c>
      <c r="E15" s="1">
        <v>25</v>
      </c>
      <c r="F15" s="1">
        <v>2999</v>
      </c>
      <c r="G15" s="1">
        <f t="shared" si="0"/>
        <v>74975</v>
      </c>
      <c r="H15" s="1" t="s">
        <v>137</v>
      </c>
    </row>
    <row r="16" spans="1:11" x14ac:dyDescent="0.25">
      <c r="A16" s="1" t="s">
        <v>154</v>
      </c>
      <c r="B16" s="60">
        <v>46006</v>
      </c>
      <c r="C16" s="61" t="s">
        <v>188</v>
      </c>
      <c r="D16" s="1" t="s">
        <v>130</v>
      </c>
      <c r="E16" s="1">
        <v>24</v>
      </c>
      <c r="F16" s="1">
        <v>1999</v>
      </c>
      <c r="G16" s="1">
        <f t="shared" si="0"/>
        <v>47976</v>
      </c>
      <c r="H16" s="1" t="s">
        <v>135</v>
      </c>
    </row>
    <row r="17" spans="1:8" x14ac:dyDescent="0.25">
      <c r="A17" s="1" t="s">
        <v>155</v>
      </c>
      <c r="B17" s="60">
        <v>46007</v>
      </c>
      <c r="C17" s="61" t="s">
        <v>189</v>
      </c>
      <c r="D17" s="1" t="s">
        <v>131</v>
      </c>
      <c r="E17" s="1">
        <v>21</v>
      </c>
      <c r="F17" s="1">
        <v>899</v>
      </c>
      <c r="G17" s="1">
        <f t="shared" si="0"/>
        <v>18879</v>
      </c>
      <c r="H17" s="1" t="s">
        <v>136</v>
      </c>
    </row>
    <row r="18" spans="1:8" x14ac:dyDescent="0.25">
      <c r="A18" s="1" t="s">
        <v>156</v>
      </c>
      <c r="B18" s="60">
        <v>46008</v>
      </c>
      <c r="C18" s="61" t="s">
        <v>190</v>
      </c>
      <c r="D18" s="1" t="s">
        <v>129</v>
      </c>
      <c r="E18" s="1">
        <v>13</v>
      </c>
      <c r="F18" s="1">
        <v>8099</v>
      </c>
      <c r="G18" s="1">
        <f t="shared" si="0"/>
        <v>105287</v>
      </c>
      <c r="H18" s="1" t="s">
        <v>136</v>
      </c>
    </row>
    <row r="19" spans="1:8" x14ac:dyDescent="0.25">
      <c r="A19" s="1" t="s">
        <v>157</v>
      </c>
      <c r="B19" s="60">
        <v>46009</v>
      </c>
      <c r="C19" s="61" t="s">
        <v>191</v>
      </c>
      <c r="D19" s="1" t="s">
        <v>134</v>
      </c>
      <c r="E19" s="1">
        <v>14</v>
      </c>
      <c r="F19" s="1">
        <v>69999</v>
      </c>
      <c r="G19" s="1">
        <f t="shared" si="0"/>
        <v>979986</v>
      </c>
      <c r="H19" s="1" t="s">
        <v>138</v>
      </c>
    </row>
    <row r="20" spans="1:8" x14ac:dyDescent="0.25">
      <c r="A20" s="1" t="s">
        <v>158</v>
      </c>
      <c r="B20" s="60">
        <v>46010</v>
      </c>
      <c r="C20" s="61" t="s">
        <v>192</v>
      </c>
      <c r="D20" s="1" t="s">
        <v>132</v>
      </c>
      <c r="E20" s="1">
        <v>11</v>
      </c>
      <c r="F20" s="1">
        <v>2999</v>
      </c>
      <c r="G20" s="1">
        <f t="shared" si="0"/>
        <v>32989</v>
      </c>
      <c r="H20" s="1" t="s">
        <v>136</v>
      </c>
    </row>
    <row r="21" spans="1:8" x14ac:dyDescent="0.25">
      <c r="A21" s="1" t="s">
        <v>159</v>
      </c>
      <c r="B21" s="60">
        <v>46011</v>
      </c>
      <c r="C21" s="61" t="s">
        <v>193</v>
      </c>
      <c r="D21" s="1" t="s">
        <v>130</v>
      </c>
      <c r="E21" s="1">
        <v>13</v>
      </c>
      <c r="F21" s="1">
        <v>1999</v>
      </c>
      <c r="G21" s="1">
        <f t="shared" si="0"/>
        <v>25987</v>
      </c>
      <c r="H21" s="1" t="s">
        <v>136</v>
      </c>
    </row>
    <row r="22" spans="1:8" x14ac:dyDescent="0.25">
      <c r="A22" s="1" t="s">
        <v>160</v>
      </c>
      <c r="B22" s="60">
        <v>46012</v>
      </c>
      <c r="C22" s="61" t="s">
        <v>194</v>
      </c>
      <c r="D22" s="1" t="s">
        <v>133</v>
      </c>
      <c r="E22" s="1">
        <v>20</v>
      </c>
      <c r="F22" s="1">
        <v>14999</v>
      </c>
      <c r="G22" s="1">
        <f t="shared" si="0"/>
        <v>299980</v>
      </c>
      <c r="H22" s="1" t="s">
        <v>137</v>
      </c>
    </row>
    <row r="23" spans="1:8" x14ac:dyDescent="0.25">
      <c r="A23" s="1" t="s">
        <v>161</v>
      </c>
      <c r="B23" s="60">
        <v>46013</v>
      </c>
      <c r="C23" s="61" t="s">
        <v>195</v>
      </c>
      <c r="D23" s="1" t="s">
        <v>131</v>
      </c>
      <c r="E23" s="1">
        <v>10</v>
      </c>
      <c r="F23" s="1">
        <v>899</v>
      </c>
      <c r="G23" s="1">
        <f t="shared" si="0"/>
        <v>8990</v>
      </c>
      <c r="H23" s="1" t="s">
        <v>135</v>
      </c>
    </row>
    <row r="24" spans="1:8" x14ac:dyDescent="0.25">
      <c r="A24" s="1" t="s">
        <v>162</v>
      </c>
      <c r="B24" s="60">
        <v>46014</v>
      </c>
      <c r="C24" s="61" t="s">
        <v>196</v>
      </c>
      <c r="D24" s="1" t="s">
        <v>132</v>
      </c>
      <c r="E24" s="1">
        <v>11</v>
      </c>
      <c r="F24" s="1">
        <v>2999</v>
      </c>
      <c r="G24" s="1">
        <f t="shared" si="0"/>
        <v>32989</v>
      </c>
      <c r="H24" s="1" t="s">
        <v>138</v>
      </c>
    </row>
    <row r="25" spans="1:8" x14ac:dyDescent="0.25">
      <c r="A25" s="1" t="s">
        <v>163</v>
      </c>
      <c r="B25" s="60">
        <v>46015</v>
      </c>
      <c r="C25" s="61" t="s">
        <v>197</v>
      </c>
      <c r="D25" s="1" t="s">
        <v>134</v>
      </c>
      <c r="E25" s="1">
        <v>17</v>
      </c>
      <c r="F25" s="1">
        <v>69999</v>
      </c>
      <c r="G25" s="1">
        <f t="shared" si="0"/>
        <v>1189983</v>
      </c>
      <c r="H25" s="1" t="s">
        <v>139</v>
      </c>
    </row>
    <row r="26" spans="1:8" x14ac:dyDescent="0.25">
      <c r="A26" s="1" t="s">
        <v>164</v>
      </c>
      <c r="B26" s="60">
        <v>46016</v>
      </c>
      <c r="C26" s="61" t="s">
        <v>198</v>
      </c>
      <c r="D26" s="1" t="s">
        <v>133</v>
      </c>
      <c r="E26" s="1">
        <v>16</v>
      </c>
      <c r="F26" s="1">
        <v>14999</v>
      </c>
      <c r="G26" s="1">
        <f t="shared" si="0"/>
        <v>239984</v>
      </c>
      <c r="H26" s="1" t="s">
        <v>139</v>
      </c>
    </row>
    <row r="27" spans="1:8" x14ac:dyDescent="0.25">
      <c r="A27" s="1" t="s">
        <v>165</v>
      </c>
      <c r="B27" s="60">
        <v>46017</v>
      </c>
      <c r="C27" s="61" t="s">
        <v>199</v>
      </c>
      <c r="D27" s="1" t="s">
        <v>130</v>
      </c>
      <c r="E27" s="1">
        <v>25</v>
      </c>
      <c r="F27" s="1">
        <v>1999</v>
      </c>
      <c r="G27" s="1">
        <f t="shared" si="0"/>
        <v>49975</v>
      </c>
      <c r="H27" s="1" t="s">
        <v>137</v>
      </c>
    </row>
    <row r="28" spans="1:8" x14ac:dyDescent="0.25">
      <c r="A28" s="1" t="s">
        <v>166</v>
      </c>
      <c r="B28" s="60">
        <v>46018</v>
      </c>
      <c r="C28" s="61" t="s">
        <v>200</v>
      </c>
      <c r="D28" s="1" t="s">
        <v>132</v>
      </c>
      <c r="E28" s="1">
        <v>23</v>
      </c>
      <c r="F28" s="1">
        <v>2999</v>
      </c>
      <c r="G28" s="1">
        <f t="shared" si="0"/>
        <v>68977</v>
      </c>
      <c r="H28" s="1" t="s">
        <v>135</v>
      </c>
    </row>
    <row r="29" spans="1:8" x14ac:dyDescent="0.25">
      <c r="A29" s="1" t="s">
        <v>167</v>
      </c>
      <c r="B29" s="60">
        <v>46019</v>
      </c>
      <c r="C29" s="61" t="s">
        <v>201</v>
      </c>
      <c r="D29" s="1" t="s">
        <v>131</v>
      </c>
      <c r="E29" s="1">
        <v>14</v>
      </c>
      <c r="F29" s="1">
        <v>899</v>
      </c>
      <c r="G29" s="1">
        <f t="shared" si="0"/>
        <v>12586</v>
      </c>
      <c r="H29" s="1" t="s">
        <v>135</v>
      </c>
    </row>
    <row r="30" spans="1:8" x14ac:dyDescent="0.25">
      <c r="A30" s="1" t="s">
        <v>168</v>
      </c>
      <c r="B30" s="60">
        <v>46020</v>
      </c>
      <c r="C30" s="61" t="s">
        <v>202</v>
      </c>
      <c r="D30" s="1" t="s">
        <v>133</v>
      </c>
      <c r="E30" s="1">
        <v>18</v>
      </c>
      <c r="F30" s="1">
        <v>14999</v>
      </c>
      <c r="G30" s="1">
        <f t="shared" si="0"/>
        <v>269982</v>
      </c>
      <c r="H30" s="1" t="s">
        <v>140</v>
      </c>
    </row>
    <row r="31" spans="1:8" x14ac:dyDescent="0.25">
      <c r="A31" s="1" t="s">
        <v>169</v>
      </c>
      <c r="B31" s="60">
        <v>46021</v>
      </c>
      <c r="C31" s="61" t="s">
        <v>203</v>
      </c>
      <c r="D31" s="1" t="s">
        <v>134</v>
      </c>
      <c r="E31" s="1">
        <v>25</v>
      </c>
      <c r="F31" s="1">
        <v>69999</v>
      </c>
      <c r="G31" s="1">
        <f t="shared" si="0"/>
        <v>1749975</v>
      </c>
      <c r="H31" s="1" t="s">
        <v>137</v>
      </c>
    </row>
    <row r="32" spans="1:8" x14ac:dyDescent="0.25">
      <c r="A32" s="1" t="s">
        <v>170</v>
      </c>
      <c r="B32" s="60">
        <v>46022</v>
      </c>
      <c r="C32" s="61" t="s">
        <v>204</v>
      </c>
      <c r="D32" s="1" t="s">
        <v>132</v>
      </c>
      <c r="E32" s="1">
        <v>15</v>
      </c>
      <c r="F32" s="1">
        <v>2999</v>
      </c>
      <c r="G32" s="1">
        <f t="shared" si="0"/>
        <v>44985</v>
      </c>
      <c r="H32" s="1" t="s">
        <v>136</v>
      </c>
    </row>
    <row r="33" spans="1:8" x14ac:dyDescent="0.25">
      <c r="A33" s="1" t="s">
        <v>171</v>
      </c>
      <c r="B33" s="60">
        <v>46023</v>
      </c>
      <c r="C33" s="61" t="s">
        <v>205</v>
      </c>
      <c r="D33" s="1" t="s">
        <v>131</v>
      </c>
      <c r="E33" s="1">
        <v>23</v>
      </c>
      <c r="F33" s="1">
        <v>899</v>
      </c>
      <c r="G33" s="1">
        <f t="shared" si="0"/>
        <v>20677</v>
      </c>
      <c r="H33" s="1" t="s">
        <v>136</v>
      </c>
    </row>
    <row r="34" spans="1:8" x14ac:dyDescent="0.25">
      <c r="A34" s="1" t="s">
        <v>172</v>
      </c>
      <c r="B34" s="60">
        <v>46024</v>
      </c>
      <c r="C34" s="61" t="s">
        <v>206</v>
      </c>
      <c r="D34" s="1" t="s">
        <v>133</v>
      </c>
      <c r="E34" s="1">
        <v>16</v>
      </c>
      <c r="F34" s="1">
        <v>14999</v>
      </c>
      <c r="G34" s="1">
        <f t="shared" si="0"/>
        <v>239984</v>
      </c>
      <c r="H34" s="1" t="s">
        <v>138</v>
      </c>
    </row>
    <row r="35" spans="1:8" x14ac:dyDescent="0.25">
      <c r="A35" s="1" t="s">
        <v>173</v>
      </c>
      <c r="B35" s="60">
        <v>46025</v>
      </c>
      <c r="C35" s="61" t="s">
        <v>207</v>
      </c>
      <c r="D35" s="1" t="s">
        <v>132</v>
      </c>
      <c r="E35" s="1">
        <v>13</v>
      </c>
      <c r="F35" s="1">
        <v>2999</v>
      </c>
      <c r="G35" s="1">
        <f t="shared" si="0"/>
        <v>38987</v>
      </c>
      <c r="H35" s="1" t="s">
        <v>137</v>
      </c>
    </row>
  </sheetData>
  <sortState xmlns:xlrd2="http://schemas.microsoft.com/office/spreadsheetml/2017/richdata2" ref="A2:H35">
    <sortCondition ref="A1:A35"/>
  </sortState>
  <phoneticPr fontId="14" type="noConversion"/>
  <conditionalFormatting sqref="A2:H35">
    <cfRule type="expression" dxfId="3" priority="1">
      <formula>$D2="Mouse"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DC862-0831-41BF-8DEA-AD798BBB9006}">
  <dimension ref="A1:D9"/>
  <sheetViews>
    <sheetView workbookViewId="0">
      <selection activeCell="G3" sqref="G3"/>
    </sheetView>
  </sheetViews>
  <sheetFormatPr defaultRowHeight="15" x14ac:dyDescent="0.25"/>
  <cols>
    <col min="1" max="1" width="10.5703125" bestFit="1" customWidth="1"/>
    <col min="2" max="2" width="10.140625" bestFit="1" customWidth="1"/>
    <col min="3" max="3" width="21" bestFit="1" customWidth="1"/>
    <col min="4" max="4" width="12" bestFit="1" customWidth="1"/>
  </cols>
  <sheetData>
    <row r="1" spans="1:4" x14ac:dyDescent="0.25">
      <c r="A1" s="18" t="s">
        <v>46</v>
      </c>
      <c r="B1" s="18" t="s">
        <v>47</v>
      </c>
      <c r="C1" s="18" t="s">
        <v>48</v>
      </c>
      <c r="D1" s="18" t="s">
        <v>49</v>
      </c>
    </row>
    <row r="2" spans="1:4" x14ac:dyDescent="0.25">
      <c r="A2" s="3" t="s">
        <v>50</v>
      </c>
      <c r="B2" s="3" t="s">
        <v>51</v>
      </c>
      <c r="C2" s="39" t="str">
        <f>B2&amp;", "&amp;A2</f>
        <v>Smith, Nancy</v>
      </c>
      <c r="D2" s="40" t="str">
        <f>A2&amp;" "&amp;B2</f>
        <v>Nancy Smith</v>
      </c>
    </row>
    <row r="3" spans="1:4" x14ac:dyDescent="0.25">
      <c r="A3" s="3" t="s">
        <v>52</v>
      </c>
      <c r="B3" s="3" t="s">
        <v>53</v>
      </c>
      <c r="C3" s="39"/>
      <c r="D3" s="40"/>
    </row>
    <row r="4" spans="1:4" x14ac:dyDescent="0.25">
      <c r="A4" s="3" t="s">
        <v>54</v>
      </c>
      <c r="B4" s="3" t="s">
        <v>55</v>
      </c>
      <c r="C4" s="39"/>
      <c r="D4" s="40"/>
    </row>
    <row r="5" spans="1:4" x14ac:dyDescent="0.25">
      <c r="A5" s="3" t="s">
        <v>56</v>
      </c>
      <c r="B5" s="3" t="s">
        <v>57</v>
      </c>
      <c r="C5" s="39"/>
      <c r="D5" s="40"/>
    </row>
    <row r="6" spans="1:4" x14ac:dyDescent="0.25">
      <c r="A6" s="3" t="s">
        <v>58</v>
      </c>
      <c r="B6" s="3" t="s">
        <v>59</v>
      </c>
      <c r="C6" s="39"/>
      <c r="D6" s="40"/>
    </row>
    <row r="7" spans="1:4" x14ac:dyDescent="0.25">
      <c r="A7" s="3" t="s">
        <v>60</v>
      </c>
      <c r="B7" s="3" t="s">
        <v>61</v>
      </c>
      <c r="C7" s="39"/>
      <c r="D7" s="40"/>
    </row>
    <row r="8" spans="1:4" x14ac:dyDescent="0.25">
      <c r="A8" s="3" t="s">
        <v>62</v>
      </c>
      <c r="B8" s="3" t="s">
        <v>63</v>
      </c>
      <c r="C8" s="39"/>
      <c r="D8" s="40"/>
    </row>
    <row r="9" spans="1:4" x14ac:dyDescent="0.25">
      <c r="A9" s="3" t="s">
        <v>64</v>
      </c>
      <c r="B9" s="3" t="s">
        <v>65</v>
      </c>
      <c r="C9" s="39"/>
      <c r="D9" s="40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9C76B-7CBF-4869-8B7F-AA3E355A518C}">
  <dimension ref="A1:F17"/>
  <sheetViews>
    <sheetView workbookViewId="0">
      <selection activeCell="B17" sqref="B17"/>
    </sheetView>
  </sheetViews>
  <sheetFormatPr defaultRowHeight="15" x14ac:dyDescent="0.25"/>
  <cols>
    <col min="1" max="1" width="7.42578125" bestFit="1" customWidth="1"/>
    <col min="2" max="2" width="11.85546875" bestFit="1" customWidth="1"/>
    <col min="3" max="3" width="7.5703125" bestFit="1" customWidth="1"/>
    <col min="6" max="6" width="21.85546875" bestFit="1" customWidth="1"/>
  </cols>
  <sheetData>
    <row r="1" spans="1:6" x14ac:dyDescent="0.25">
      <c r="A1" s="52" t="s">
        <v>97</v>
      </c>
      <c r="B1" s="52" t="s">
        <v>88</v>
      </c>
      <c r="C1" s="52" t="s">
        <v>98</v>
      </c>
    </row>
    <row r="2" spans="1:6" x14ac:dyDescent="0.25">
      <c r="A2" s="53">
        <v>301</v>
      </c>
      <c r="B2" s="53" t="s">
        <v>99</v>
      </c>
      <c r="C2" s="53" t="s">
        <v>100</v>
      </c>
      <c r="F2" t="s">
        <v>109</v>
      </c>
    </row>
    <row r="3" spans="1:6" x14ac:dyDescent="0.25">
      <c r="A3" s="53">
        <v>302</v>
      </c>
      <c r="B3" s="53" t="s">
        <v>101</v>
      </c>
      <c r="C3" s="53" t="s">
        <v>106</v>
      </c>
      <c r="F3" t="s">
        <v>210</v>
      </c>
    </row>
    <row r="4" spans="1:6" x14ac:dyDescent="0.25">
      <c r="A4" s="53">
        <v>303</v>
      </c>
      <c r="B4" s="53" t="s">
        <v>102</v>
      </c>
      <c r="C4" s="53" t="s">
        <v>100</v>
      </c>
      <c r="F4" t="s">
        <v>211</v>
      </c>
    </row>
    <row r="5" spans="1:6" x14ac:dyDescent="0.25">
      <c r="A5" s="53">
        <v>304</v>
      </c>
      <c r="B5" s="53" t="s">
        <v>103</v>
      </c>
      <c r="C5" s="53" t="s">
        <v>100</v>
      </c>
    </row>
    <row r="6" spans="1:6" x14ac:dyDescent="0.25">
      <c r="A6" s="53">
        <v>305</v>
      </c>
      <c r="B6" s="53" t="s">
        <v>105</v>
      </c>
      <c r="C6" s="56" t="s">
        <v>106</v>
      </c>
    </row>
    <row r="7" spans="1:6" x14ac:dyDescent="0.25">
      <c r="A7" s="53">
        <v>306</v>
      </c>
      <c r="B7" s="53" t="s">
        <v>108</v>
      </c>
      <c r="C7" s="53" t="s">
        <v>100</v>
      </c>
    </row>
    <row r="8" spans="1:6" x14ac:dyDescent="0.25">
      <c r="A8" s="53">
        <v>307</v>
      </c>
      <c r="B8" s="53" t="s">
        <v>110</v>
      </c>
      <c r="C8" s="53" t="s">
        <v>100</v>
      </c>
    </row>
    <row r="9" spans="1:6" x14ac:dyDescent="0.25">
      <c r="A9" s="53">
        <v>308</v>
      </c>
      <c r="B9" s="53" t="s">
        <v>112</v>
      </c>
      <c r="C9" s="56" t="s">
        <v>106</v>
      </c>
    </row>
    <row r="10" spans="1:6" x14ac:dyDescent="0.25">
      <c r="A10" s="53">
        <v>309</v>
      </c>
      <c r="B10" s="53" t="s">
        <v>113</v>
      </c>
      <c r="C10" s="53" t="s">
        <v>100</v>
      </c>
    </row>
    <row r="11" spans="1:6" x14ac:dyDescent="0.25">
      <c r="A11" s="53">
        <v>310</v>
      </c>
      <c r="B11" s="53" t="s">
        <v>114</v>
      </c>
      <c r="C11" s="53" t="s">
        <v>100</v>
      </c>
    </row>
    <row r="13" spans="1:6" x14ac:dyDescent="0.25">
      <c r="B13" s="58" t="s">
        <v>100</v>
      </c>
      <c r="C13">
        <f>COUNTIF(C2:C11,B13)</f>
        <v>7</v>
      </c>
    </row>
    <row r="14" spans="1:6" x14ac:dyDescent="0.25">
      <c r="B14" s="58" t="s">
        <v>212</v>
      </c>
      <c r="C14">
        <f>COUNTA(C2:C11)</f>
        <v>10</v>
      </c>
    </row>
    <row r="15" spans="1:6" x14ac:dyDescent="0.25">
      <c r="B15" s="58" t="s">
        <v>213</v>
      </c>
      <c r="C15">
        <f>COUNT(C2:C11)</f>
        <v>0</v>
      </c>
    </row>
    <row r="16" spans="1:6" x14ac:dyDescent="0.25">
      <c r="B16" s="58" t="s">
        <v>214</v>
      </c>
      <c r="C16">
        <f>ROWS(C2:C11)</f>
        <v>10</v>
      </c>
    </row>
    <row r="17" spans="2:4" x14ac:dyDescent="0.25">
      <c r="B17" s="58" t="s">
        <v>216</v>
      </c>
      <c r="C17">
        <f>MATCH("Employee 5",B2:B11,0)</f>
        <v>5</v>
      </c>
      <c r="D17" t="s">
        <v>215</v>
      </c>
    </row>
  </sheetData>
  <conditionalFormatting sqref="C2:C11">
    <cfRule type="cellIs" dxfId="2" priority="1" operator="equal">
      <formula>"Apsent"</formula>
    </cfRule>
    <cfRule type="cellIs" dxfId="1" priority="2" operator="equal">
      <formula>"Present"</formula>
    </cfRule>
  </conditionalFormatting>
  <dataValidations count="1">
    <dataValidation type="list" allowBlank="1" showInputMessage="1" showErrorMessage="1" sqref="C2:C11 B13" xr:uid="{BA7833FF-53E0-4131-90D8-53052F6057B4}">
      <formula1>"Present, Apsent"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C8493-0F8E-4799-81DB-422AC769454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E4CEA-49BC-4E75-9F31-425F91AA3EBF}">
  <dimension ref="B2:C6"/>
  <sheetViews>
    <sheetView workbookViewId="0">
      <selection activeCell="C6" sqref="C6"/>
    </sheetView>
  </sheetViews>
  <sheetFormatPr defaultRowHeight="15" x14ac:dyDescent="0.25"/>
  <sheetData>
    <row r="2" spans="2:3" x14ac:dyDescent="0.25">
      <c r="B2" t="s">
        <v>277</v>
      </c>
    </row>
    <row r="3" spans="2:3" x14ac:dyDescent="0.25">
      <c r="B3" t="s">
        <v>278</v>
      </c>
    </row>
    <row r="4" spans="2:3" x14ac:dyDescent="0.25">
      <c r="C4" t="s">
        <v>279</v>
      </c>
    </row>
    <row r="5" spans="2:3" x14ac:dyDescent="0.25">
      <c r="C5" t="s">
        <v>280</v>
      </c>
    </row>
    <row r="6" spans="2:3" x14ac:dyDescent="0.25">
      <c r="C6" t="s">
        <v>281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6410A-E0E6-47A3-9408-0D7B526C9DF2}">
  <dimension ref="A1:S58"/>
  <sheetViews>
    <sheetView workbookViewId="0">
      <selection sqref="A1:S58"/>
    </sheetView>
  </sheetViews>
  <sheetFormatPr defaultRowHeight="15" x14ac:dyDescent="0.25"/>
  <cols>
    <col min="1" max="1" width="14.140625" bestFit="1" customWidth="1"/>
    <col min="2" max="2" width="10.42578125" bestFit="1" customWidth="1"/>
    <col min="3" max="3" width="22.85546875" bestFit="1" customWidth="1"/>
    <col min="4" max="4" width="11.28515625" bestFit="1" customWidth="1"/>
    <col min="5" max="5" width="10.5703125" bestFit="1" customWidth="1"/>
    <col min="6" max="6" width="14.42578125" bestFit="1" customWidth="1"/>
    <col min="7" max="7" width="11" bestFit="1" customWidth="1"/>
    <col min="8" max="8" width="10" bestFit="1" customWidth="1"/>
    <col min="10" max="10" width="9.42578125" bestFit="1" customWidth="1"/>
    <col min="12" max="12" width="14.140625" bestFit="1" customWidth="1"/>
    <col min="13" max="13" width="10.42578125" style="44" bestFit="1" customWidth="1"/>
    <col min="14" max="14" width="18.42578125" bestFit="1" customWidth="1"/>
    <col min="15" max="15" width="9.42578125" bestFit="1" customWidth="1"/>
    <col min="16" max="16" width="10.5703125" bestFit="1" customWidth="1"/>
    <col min="17" max="17" width="14.42578125" bestFit="1" customWidth="1"/>
    <col min="18" max="18" width="11" bestFit="1" customWidth="1"/>
    <col min="19" max="19" width="9.42578125" bestFit="1" customWidth="1"/>
  </cols>
  <sheetData>
    <row r="1" spans="1:19" ht="15" customHeight="1" x14ac:dyDescent="0.25">
      <c r="A1" s="64" t="s">
        <v>121</v>
      </c>
      <c r="B1" s="64" t="s">
        <v>75</v>
      </c>
      <c r="C1" s="64" t="s">
        <v>124</v>
      </c>
      <c r="D1" s="64" t="s">
        <v>122</v>
      </c>
      <c r="E1" s="64" t="s">
        <v>123</v>
      </c>
      <c r="F1" s="64" t="s">
        <v>125</v>
      </c>
      <c r="G1" s="64" t="s">
        <v>126</v>
      </c>
      <c r="H1" s="64" t="s">
        <v>127</v>
      </c>
      <c r="M1" s="75" t="s">
        <v>284</v>
      </c>
      <c r="N1" s="75"/>
      <c r="O1" s="75"/>
      <c r="P1" s="75"/>
    </row>
    <row r="2" spans="1:19" ht="15" customHeight="1" x14ac:dyDescent="0.25">
      <c r="A2" s="1" t="s">
        <v>128</v>
      </c>
      <c r="B2" s="60">
        <v>45992</v>
      </c>
      <c r="C2" s="1" t="s">
        <v>174</v>
      </c>
      <c r="D2" s="1" t="s">
        <v>129</v>
      </c>
      <c r="E2" s="1">
        <v>5</v>
      </c>
      <c r="F2" s="1">
        <v>8099</v>
      </c>
      <c r="G2" s="1">
        <f t="shared" ref="G2:G35" si="0">E2*F2</f>
        <v>40495</v>
      </c>
      <c r="H2" s="1" t="s">
        <v>135</v>
      </c>
      <c r="M2" s="76"/>
      <c r="N2" s="76"/>
      <c r="O2" s="76"/>
      <c r="P2" s="76"/>
    </row>
    <row r="3" spans="1:19" x14ac:dyDescent="0.25">
      <c r="A3" s="1" t="s">
        <v>141</v>
      </c>
      <c r="B3" s="60">
        <v>45993</v>
      </c>
      <c r="C3" s="1" t="s">
        <v>175</v>
      </c>
      <c r="D3" s="1" t="s">
        <v>130</v>
      </c>
      <c r="E3" s="1">
        <v>20</v>
      </c>
      <c r="F3" s="1">
        <v>1999</v>
      </c>
      <c r="G3" s="1">
        <f t="shared" si="0"/>
        <v>39980</v>
      </c>
      <c r="H3" s="1" t="s">
        <v>136</v>
      </c>
      <c r="J3" s="65" t="s">
        <v>122</v>
      </c>
      <c r="L3" s="64" t="s">
        <v>121</v>
      </c>
      <c r="M3" s="66" t="s">
        <v>75</v>
      </c>
      <c r="N3" s="64" t="s">
        <v>124</v>
      </c>
      <c r="O3" s="64" t="s">
        <v>122</v>
      </c>
      <c r="P3" s="64" t="s">
        <v>123</v>
      </c>
      <c r="Q3" s="64" t="s">
        <v>125</v>
      </c>
      <c r="R3" s="64" t="s">
        <v>126</v>
      </c>
      <c r="S3" s="64" t="s">
        <v>127</v>
      </c>
    </row>
    <row r="4" spans="1:19" x14ac:dyDescent="0.25">
      <c r="A4" s="1" t="s">
        <v>142</v>
      </c>
      <c r="B4" s="60">
        <v>45994</v>
      </c>
      <c r="C4" s="1" t="s">
        <v>176</v>
      </c>
      <c r="D4" s="1" t="s">
        <v>131</v>
      </c>
      <c r="E4" s="1">
        <v>25</v>
      </c>
      <c r="F4" s="1">
        <v>899</v>
      </c>
      <c r="G4" s="1">
        <f t="shared" si="0"/>
        <v>22475</v>
      </c>
      <c r="H4" s="1" t="s">
        <v>137</v>
      </c>
      <c r="J4" t="s">
        <v>131</v>
      </c>
      <c r="L4" t="str" cm="1">
        <f t="array" ref="L4:S9">_xlfn._xlws.FILTER(A2:H35,D2:D35=J4,"Not Available")</f>
        <v>T003</v>
      </c>
      <c r="M4" s="44">
        <v>45994</v>
      </c>
      <c r="N4" t="str">
        <v>Sushmita Sarkar</v>
      </c>
      <c r="O4" t="str">
        <v>Mouse</v>
      </c>
      <c r="P4">
        <v>25</v>
      </c>
      <c r="Q4">
        <v>899</v>
      </c>
      <c r="R4">
        <v>22475</v>
      </c>
      <c r="S4" t="str">
        <v>Hydrabad</v>
      </c>
    </row>
    <row r="5" spans="1:19" x14ac:dyDescent="0.25">
      <c r="A5" s="1" t="s">
        <v>143</v>
      </c>
      <c r="B5" s="60">
        <v>45995</v>
      </c>
      <c r="C5" s="1" t="s">
        <v>177</v>
      </c>
      <c r="D5" s="1" t="s">
        <v>132</v>
      </c>
      <c r="E5" s="1">
        <v>50</v>
      </c>
      <c r="F5" s="1">
        <v>2999</v>
      </c>
      <c r="G5" s="1">
        <f t="shared" si="0"/>
        <v>149950</v>
      </c>
      <c r="H5" s="1" t="s">
        <v>138</v>
      </c>
      <c r="L5" t="str">
        <v>T011</v>
      </c>
      <c r="M5" s="44">
        <v>46002</v>
      </c>
      <c r="N5" t="str">
        <v>Deepak Ghildiyal</v>
      </c>
      <c r="O5" t="str">
        <v>Mouse</v>
      </c>
      <c r="P5">
        <v>14</v>
      </c>
      <c r="Q5">
        <v>899</v>
      </c>
      <c r="R5">
        <v>12586</v>
      </c>
      <c r="S5" t="str">
        <v>Pune</v>
      </c>
    </row>
    <row r="6" spans="1:19" x14ac:dyDescent="0.25">
      <c r="A6" s="1" t="s">
        <v>144</v>
      </c>
      <c r="B6" s="60">
        <v>45996</v>
      </c>
      <c r="C6" s="1" t="s">
        <v>178</v>
      </c>
      <c r="D6" s="1" t="s">
        <v>133</v>
      </c>
      <c r="E6" s="1">
        <v>10</v>
      </c>
      <c r="F6" s="1">
        <v>14999</v>
      </c>
      <c r="G6" s="1">
        <f t="shared" si="0"/>
        <v>149990</v>
      </c>
      <c r="H6" s="1" t="s">
        <v>139</v>
      </c>
      <c r="L6" t="str">
        <v>T016</v>
      </c>
      <c r="M6" s="44">
        <v>46007</v>
      </c>
      <c r="N6" t="str">
        <v>Shah Alam</v>
      </c>
      <c r="O6" t="str">
        <v>Mouse</v>
      </c>
      <c r="P6">
        <v>21</v>
      </c>
      <c r="Q6">
        <v>899</v>
      </c>
      <c r="R6">
        <v>18879</v>
      </c>
      <c r="S6" t="str">
        <v>Pune</v>
      </c>
    </row>
    <row r="7" spans="1:19" x14ac:dyDescent="0.25">
      <c r="A7" s="1" t="s">
        <v>145</v>
      </c>
      <c r="B7" s="60">
        <v>45997</v>
      </c>
      <c r="C7" s="1" t="s">
        <v>179</v>
      </c>
      <c r="D7" s="1" t="s">
        <v>134</v>
      </c>
      <c r="E7" s="1">
        <v>15</v>
      </c>
      <c r="F7" s="1">
        <v>69999</v>
      </c>
      <c r="G7" s="1">
        <f t="shared" si="0"/>
        <v>1049985</v>
      </c>
      <c r="H7" s="1" t="s">
        <v>140</v>
      </c>
      <c r="L7" t="str">
        <v>T022</v>
      </c>
      <c r="M7" s="44">
        <v>46013</v>
      </c>
      <c r="N7" t="str">
        <v>Karan Kumar</v>
      </c>
      <c r="O7" t="str">
        <v>Mouse</v>
      </c>
      <c r="P7">
        <v>10</v>
      </c>
      <c r="Q7">
        <v>899</v>
      </c>
      <c r="R7">
        <v>8990</v>
      </c>
      <c r="S7" t="str">
        <v>Delhi</v>
      </c>
    </row>
    <row r="8" spans="1:19" x14ac:dyDescent="0.25">
      <c r="A8" s="1" t="s">
        <v>146</v>
      </c>
      <c r="B8" s="60">
        <v>45998</v>
      </c>
      <c r="C8" s="1" t="s">
        <v>180</v>
      </c>
      <c r="D8" s="1" t="s">
        <v>129</v>
      </c>
      <c r="E8" s="1">
        <v>23</v>
      </c>
      <c r="F8" s="1">
        <v>8099</v>
      </c>
      <c r="G8" s="1">
        <f t="shared" si="0"/>
        <v>186277</v>
      </c>
      <c r="H8" s="1" t="s">
        <v>138</v>
      </c>
      <c r="L8" t="str">
        <v>T028</v>
      </c>
      <c r="M8" s="44">
        <v>46019</v>
      </c>
      <c r="N8" t="str">
        <v>Sachin Pratap Singh</v>
      </c>
      <c r="O8" t="str">
        <v>Mouse</v>
      </c>
      <c r="P8">
        <v>14</v>
      </c>
      <c r="Q8">
        <v>899</v>
      </c>
      <c r="R8">
        <v>12586</v>
      </c>
      <c r="S8" t="str">
        <v>Delhi</v>
      </c>
    </row>
    <row r="9" spans="1:19" x14ac:dyDescent="0.25">
      <c r="A9" s="1" t="s">
        <v>147</v>
      </c>
      <c r="B9" s="60">
        <v>45999</v>
      </c>
      <c r="C9" s="1" t="s">
        <v>181</v>
      </c>
      <c r="D9" s="1" t="s">
        <v>134</v>
      </c>
      <c r="E9" s="1">
        <v>14</v>
      </c>
      <c r="F9" s="1">
        <v>69999</v>
      </c>
      <c r="G9" s="1">
        <f t="shared" si="0"/>
        <v>979986</v>
      </c>
      <c r="H9" s="1" t="s">
        <v>137</v>
      </c>
      <c r="L9" t="str">
        <v>T032</v>
      </c>
      <c r="M9" s="44">
        <v>46023</v>
      </c>
      <c r="N9" t="str">
        <v>Yogesh Kumar</v>
      </c>
      <c r="O9" t="str">
        <v>Mouse</v>
      </c>
      <c r="P9">
        <v>23</v>
      </c>
      <c r="Q9">
        <v>899</v>
      </c>
      <c r="R9">
        <v>20677</v>
      </c>
      <c r="S9" t="str">
        <v>Pune</v>
      </c>
    </row>
    <row r="10" spans="1:19" x14ac:dyDescent="0.25">
      <c r="A10" s="1" t="s">
        <v>148</v>
      </c>
      <c r="B10" s="60">
        <v>46000</v>
      </c>
      <c r="C10" s="1" t="s">
        <v>182</v>
      </c>
      <c r="D10" s="1" t="s">
        <v>132</v>
      </c>
      <c r="E10" s="1">
        <v>21</v>
      </c>
      <c r="F10" s="1">
        <v>2999</v>
      </c>
      <c r="G10" s="1">
        <f t="shared" si="0"/>
        <v>62979</v>
      </c>
      <c r="H10" s="1" t="s">
        <v>137</v>
      </c>
    </row>
    <row r="11" spans="1:19" x14ac:dyDescent="0.25">
      <c r="A11" s="1" t="s">
        <v>149</v>
      </c>
      <c r="B11" s="60">
        <v>46001</v>
      </c>
      <c r="C11" s="1" t="s">
        <v>183</v>
      </c>
      <c r="D11" s="1" t="s">
        <v>130</v>
      </c>
      <c r="E11" s="1">
        <v>18</v>
      </c>
      <c r="F11" s="1">
        <v>1999</v>
      </c>
      <c r="G11" s="1">
        <f t="shared" si="0"/>
        <v>35982</v>
      </c>
      <c r="H11" s="1" t="s">
        <v>136</v>
      </c>
    </row>
    <row r="12" spans="1:19" x14ac:dyDescent="0.25">
      <c r="A12" s="1" t="s">
        <v>150</v>
      </c>
      <c r="B12" s="60">
        <v>46002</v>
      </c>
      <c r="C12" s="1" t="s">
        <v>184</v>
      </c>
      <c r="D12" s="1" t="s">
        <v>131</v>
      </c>
      <c r="E12" s="1">
        <v>14</v>
      </c>
      <c r="F12" s="1">
        <v>899</v>
      </c>
      <c r="G12" s="1">
        <f t="shared" si="0"/>
        <v>12586</v>
      </c>
      <c r="H12" s="1" t="s">
        <v>136</v>
      </c>
    </row>
    <row r="13" spans="1:19" ht="15" customHeight="1" x14ac:dyDescent="0.25">
      <c r="A13" s="1" t="s">
        <v>151</v>
      </c>
      <c r="B13" s="60">
        <v>46003</v>
      </c>
      <c r="C13" s="1" t="s">
        <v>185</v>
      </c>
      <c r="D13" s="1" t="s">
        <v>129</v>
      </c>
      <c r="E13" s="1">
        <v>20</v>
      </c>
      <c r="F13" s="1">
        <v>8099</v>
      </c>
      <c r="G13" s="1">
        <f t="shared" si="0"/>
        <v>161980</v>
      </c>
      <c r="H13" s="1" t="s">
        <v>136</v>
      </c>
      <c r="M13" s="75" t="s">
        <v>282</v>
      </c>
      <c r="N13" s="75"/>
      <c r="O13" s="75"/>
      <c r="P13" s="75"/>
    </row>
    <row r="14" spans="1:19" ht="15" customHeight="1" x14ac:dyDescent="0.25">
      <c r="A14" s="1" t="s">
        <v>152</v>
      </c>
      <c r="B14" s="60">
        <v>46004</v>
      </c>
      <c r="C14" s="1" t="s">
        <v>186</v>
      </c>
      <c r="D14" s="1" t="s">
        <v>134</v>
      </c>
      <c r="E14" s="1">
        <v>19</v>
      </c>
      <c r="F14" s="1">
        <v>69999</v>
      </c>
      <c r="G14" s="1">
        <f t="shared" si="0"/>
        <v>1329981</v>
      </c>
      <c r="H14" s="1" t="s">
        <v>138</v>
      </c>
      <c r="M14" s="76"/>
      <c r="N14" s="76"/>
      <c r="O14" s="76"/>
      <c r="P14" s="76"/>
    </row>
    <row r="15" spans="1:19" x14ac:dyDescent="0.25">
      <c r="A15" s="1" t="s">
        <v>153</v>
      </c>
      <c r="B15" s="60">
        <v>46005</v>
      </c>
      <c r="C15" s="1" t="s">
        <v>187</v>
      </c>
      <c r="D15" s="1" t="s">
        <v>132</v>
      </c>
      <c r="E15" s="1">
        <v>25</v>
      </c>
      <c r="F15" s="1">
        <v>2999</v>
      </c>
      <c r="G15" s="1">
        <f t="shared" si="0"/>
        <v>74975</v>
      </c>
      <c r="H15" s="1" t="s">
        <v>137</v>
      </c>
      <c r="J15" s="65" t="s">
        <v>122</v>
      </c>
      <c r="L15" s="64" t="s">
        <v>121</v>
      </c>
      <c r="M15" s="66" t="s">
        <v>75</v>
      </c>
      <c r="N15" s="64" t="s">
        <v>124</v>
      </c>
      <c r="O15" s="64" t="s">
        <v>122</v>
      </c>
      <c r="P15" s="64" t="s">
        <v>123</v>
      </c>
      <c r="Q15" s="64" t="s">
        <v>125</v>
      </c>
      <c r="R15" s="64" t="s">
        <v>126</v>
      </c>
      <c r="S15" s="64" t="s">
        <v>127</v>
      </c>
    </row>
    <row r="16" spans="1:19" x14ac:dyDescent="0.25">
      <c r="A16" s="1" t="s">
        <v>154</v>
      </c>
      <c r="B16" s="60">
        <v>46006</v>
      </c>
      <c r="C16" s="1" t="s">
        <v>188</v>
      </c>
      <c r="D16" s="1" t="s">
        <v>130</v>
      </c>
      <c r="E16" s="1">
        <v>24</v>
      </c>
      <c r="F16" s="1">
        <v>1999</v>
      </c>
      <c r="G16" s="1">
        <f t="shared" si="0"/>
        <v>47976</v>
      </c>
      <c r="H16" s="1" t="s">
        <v>135</v>
      </c>
      <c r="J16" t="s">
        <v>131</v>
      </c>
      <c r="L16" t="str" cm="1">
        <f t="array" ref="L16:S21">_xlfn._xlws.SORT(_xlfn._xlws.FILTER(A2:H35,D2:D35=J16,"Not Available"),5,-1)</f>
        <v>T003</v>
      </c>
      <c r="M16" s="44">
        <v>45994</v>
      </c>
      <c r="N16" t="str">
        <v>Sushmita Sarkar</v>
      </c>
      <c r="O16" t="str">
        <v>Mouse</v>
      </c>
      <c r="P16">
        <v>25</v>
      </c>
      <c r="Q16">
        <v>899</v>
      </c>
      <c r="R16">
        <v>22475</v>
      </c>
      <c r="S16" t="str">
        <v>Hydrabad</v>
      </c>
    </row>
    <row r="17" spans="1:19" x14ac:dyDescent="0.25">
      <c r="A17" s="1" t="s">
        <v>155</v>
      </c>
      <c r="B17" s="60">
        <v>46007</v>
      </c>
      <c r="C17" s="1" t="s">
        <v>189</v>
      </c>
      <c r="D17" s="1" t="s">
        <v>131</v>
      </c>
      <c r="E17" s="1">
        <v>21</v>
      </c>
      <c r="F17" s="1">
        <v>899</v>
      </c>
      <c r="G17" s="1">
        <f t="shared" si="0"/>
        <v>18879</v>
      </c>
      <c r="H17" s="1" t="s">
        <v>136</v>
      </c>
      <c r="L17" t="str">
        <v>T032</v>
      </c>
      <c r="M17" s="44">
        <v>46023</v>
      </c>
      <c r="N17" t="str">
        <v>Yogesh Kumar</v>
      </c>
      <c r="O17" t="str">
        <v>Mouse</v>
      </c>
      <c r="P17">
        <v>23</v>
      </c>
      <c r="Q17">
        <v>899</v>
      </c>
      <c r="R17">
        <v>20677</v>
      </c>
      <c r="S17" t="str">
        <v>Pune</v>
      </c>
    </row>
    <row r="18" spans="1:19" x14ac:dyDescent="0.25">
      <c r="A18" s="1" t="s">
        <v>156</v>
      </c>
      <c r="B18" s="60">
        <v>46008</v>
      </c>
      <c r="C18" s="1" t="s">
        <v>190</v>
      </c>
      <c r="D18" s="1" t="s">
        <v>129</v>
      </c>
      <c r="E18" s="1">
        <v>13</v>
      </c>
      <c r="F18" s="1">
        <v>8099</v>
      </c>
      <c r="G18" s="1">
        <f t="shared" si="0"/>
        <v>105287</v>
      </c>
      <c r="H18" s="1" t="s">
        <v>136</v>
      </c>
      <c r="L18" t="str">
        <v>T016</v>
      </c>
      <c r="M18" s="44">
        <v>46007</v>
      </c>
      <c r="N18" t="str">
        <v>Shah Alam</v>
      </c>
      <c r="O18" t="str">
        <v>Mouse</v>
      </c>
      <c r="P18">
        <v>21</v>
      </c>
      <c r="Q18">
        <v>899</v>
      </c>
      <c r="R18">
        <v>18879</v>
      </c>
      <c r="S18" t="str">
        <v>Pune</v>
      </c>
    </row>
    <row r="19" spans="1:19" x14ac:dyDescent="0.25">
      <c r="A19" s="1" t="s">
        <v>157</v>
      </c>
      <c r="B19" s="60">
        <v>46009</v>
      </c>
      <c r="C19" s="1" t="s">
        <v>191</v>
      </c>
      <c r="D19" s="1" t="s">
        <v>134</v>
      </c>
      <c r="E19" s="1">
        <v>14</v>
      </c>
      <c r="F19" s="1">
        <v>69999</v>
      </c>
      <c r="G19" s="1">
        <f t="shared" si="0"/>
        <v>979986</v>
      </c>
      <c r="H19" s="1" t="s">
        <v>138</v>
      </c>
      <c r="L19" t="str">
        <v>T011</v>
      </c>
      <c r="M19" s="44">
        <v>46002</v>
      </c>
      <c r="N19" t="str">
        <v>Deepak Ghildiyal</v>
      </c>
      <c r="O19" t="str">
        <v>Mouse</v>
      </c>
      <c r="P19">
        <v>14</v>
      </c>
      <c r="Q19">
        <v>899</v>
      </c>
      <c r="R19">
        <v>12586</v>
      </c>
      <c r="S19" t="str">
        <v>Pune</v>
      </c>
    </row>
    <row r="20" spans="1:19" x14ac:dyDescent="0.25">
      <c r="A20" s="1" t="s">
        <v>158</v>
      </c>
      <c r="B20" s="60">
        <v>46010</v>
      </c>
      <c r="C20" s="1" t="s">
        <v>192</v>
      </c>
      <c r="D20" s="1" t="s">
        <v>132</v>
      </c>
      <c r="E20" s="1">
        <v>11</v>
      </c>
      <c r="F20" s="1">
        <v>2999</v>
      </c>
      <c r="G20" s="1">
        <f t="shared" si="0"/>
        <v>32989</v>
      </c>
      <c r="H20" s="1" t="s">
        <v>136</v>
      </c>
      <c r="L20" t="str">
        <v>T028</v>
      </c>
      <c r="M20" s="44">
        <v>46019</v>
      </c>
      <c r="N20" t="str">
        <v>Sachin Pratap Singh</v>
      </c>
      <c r="O20" t="str">
        <v>Mouse</v>
      </c>
      <c r="P20">
        <v>14</v>
      </c>
      <c r="Q20">
        <v>899</v>
      </c>
      <c r="R20">
        <v>12586</v>
      </c>
      <c r="S20" t="str">
        <v>Delhi</v>
      </c>
    </row>
    <row r="21" spans="1:19" x14ac:dyDescent="0.25">
      <c r="A21" s="1" t="s">
        <v>159</v>
      </c>
      <c r="B21" s="60">
        <v>46011</v>
      </c>
      <c r="C21" s="1" t="s">
        <v>193</v>
      </c>
      <c r="D21" s="1" t="s">
        <v>130</v>
      </c>
      <c r="E21" s="1">
        <v>13</v>
      </c>
      <c r="F21" s="1">
        <v>1999</v>
      </c>
      <c r="G21" s="1">
        <f t="shared" si="0"/>
        <v>25987</v>
      </c>
      <c r="H21" s="1" t="s">
        <v>136</v>
      </c>
      <c r="L21" t="str">
        <v>T022</v>
      </c>
      <c r="M21" s="44">
        <v>46013</v>
      </c>
      <c r="N21" t="str">
        <v>Karan Kumar</v>
      </c>
      <c r="O21" t="str">
        <v>Mouse</v>
      </c>
      <c r="P21">
        <v>10</v>
      </c>
      <c r="Q21">
        <v>899</v>
      </c>
      <c r="R21">
        <v>8990</v>
      </c>
      <c r="S21" t="str">
        <v>Delhi</v>
      </c>
    </row>
    <row r="22" spans="1:19" x14ac:dyDescent="0.25">
      <c r="A22" s="1" t="s">
        <v>160</v>
      </c>
      <c r="B22" s="60">
        <v>46012</v>
      </c>
      <c r="C22" s="1" t="s">
        <v>194</v>
      </c>
      <c r="D22" s="1" t="s">
        <v>133</v>
      </c>
      <c r="E22" s="1">
        <v>20</v>
      </c>
      <c r="F22" s="1">
        <v>14999</v>
      </c>
      <c r="G22" s="1">
        <f t="shared" si="0"/>
        <v>299980</v>
      </c>
      <c r="H22" s="1" t="s">
        <v>137</v>
      </c>
      <c r="M22" s="75" t="s">
        <v>283</v>
      </c>
      <c r="N22" s="75"/>
      <c r="O22" s="75"/>
      <c r="P22" s="75"/>
    </row>
    <row r="23" spans="1:19" x14ac:dyDescent="0.25">
      <c r="A23" s="1" t="s">
        <v>161</v>
      </c>
      <c r="B23" s="60">
        <v>46013</v>
      </c>
      <c r="C23" s="1" t="s">
        <v>195</v>
      </c>
      <c r="D23" s="1" t="s">
        <v>131</v>
      </c>
      <c r="E23" s="1">
        <v>10</v>
      </c>
      <c r="F23" s="1">
        <v>899</v>
      </c>
      <c r="G23" s="1">
        <f t="shared" si="0"/>
        <v>8990</v>
      </c>
      <c r="H23" s="1" t="s">
        <v>135</v>
      </c>
      <c r="M23" s="76"/>
      <c r="N23" s="76"/>
      <c r="O23" s="76"/>
      <c r="P23" s="76"/>
    </row>
    <row r="24" spans="1:19" x14ac:dyDescent="0.25">
      <c r="A24" s="1" t="s">
        <v>162</v>
      </c>
      <c r="B24" s="60">
        <v>46014</v>
      </c>
      <c r="C24" s="1" t="s">
        <v>196</v>
      </c>
      <c r="D24" s="1" t="s">
        <v>132</v>
      </c>
      <c r="E24" s="1">
        <v>11</v>
      </c>
      <c r="F24" s="1">
        <v>2999</v>
      </c>
      <c r="G24" s="1">
        <f t="shared" si="0"/>
        <v>32989</v>
      </c>
      <c r="H24" s="1" t="s">
        <v>138</v>
      </c>
      <c r="L24" s="64" t="s">
        <v>121</v>
      </c>
      <c r="M24" s="66" t="s">
        <v>75</v>
      </c>
      <c r="N24" s="64" t="s">
        <v>124</v>
      </c>
      <c r="O24" s="64" t="s">
        <v>122</v>
      </c>
      <c r="P24" s="64" t="s">
        <v>123</v>
      </c>
      <c r="Q24" s="64" t="s">
        <v>125</v>
      </c>
      <c r="R24" s="64" t="s">
        <v>126</v>
      </c>
      <c r="S24" s="64" t="s">
        <v>127</v>
      </c>
    </row>
    <row r="25" spans="1:19" x14ac:dyDescent="0.25">
      <c r="A25" s="1" t="s">
        <v>163</v>
      </c>
      <c r="B25" s="60">
        <v>46015</v>
      </c>
      <c r="C25" s="1" t="s">
        <v>197</v>
      </c>
      <c r="D25" s="1" t="s">
        <v>134</v>
      </c>
      <c r="E25" s="1">
        <v>17</v>
      </c>
      <c r="F25" s="1">
        <v>69999</v>
      </c>
      <c r="G25" s="1">
        <f t="shared" si="0"/>
        <v>1189983</v>
      </c>
      <c r="H25" s="1" t="s">
        <v>139</v>
      </c>
      <c r="L25" t="str" cm="1">
        <f t="array" ref="L25:S58">_xlfn._xlws.SORT(A2:H35,5,-1)</f>
        <v>T004</v>
      </c>
      <c r="M25" s="44">
        <v>45995</v>
      </c>
      <c r="N25" t="str">
        <v>Tarun Dixit</v>
      </c>
      <c r="O25" t="str">
        <v>Headphone</v>
      </c>
      <c r="P25">
        <v>50</v>
      </c>
      <c r="Q25">
        <v>2999</v>
      </c>
      <c r="R25">
        <v>149950</v>
      </c>
      <c r="S25" t="str">
        <v>Almora</v>
      </c>
    </row>
    <row r="26" spans="1:19" x14ac:dyDescent="0.25">
      <c r="A26" s="1" t="s">
        <v>164</v>
      </c>
      <c r="B26" s="60">
        <v>46016</v>
      </c>
      <c r="C26" s="1" t="s">
        <v>198</v>
      </c>
      <c r="D26" s="1" t="s">
        <v>133</v>
      </c>
      <c r="E26" s="1">
        <v>16</v>
      </c>
      <c r="F26" s="1">
        <v>14999</v>
      </c>
      <c r="G26" s="1">
        <f t="shared" si="0"/>
        <v>239984</v>
      </c>
      <c r="H26" s="1" t="s">
        <v>139</v>
      </c>
      <c r="L26" t="str">
        <v>T003</v>
      </c>
      <c r="M26" s="44">
        <v>45994</v>
      </c>
      <c r="N26" t="str">
        <v>Sushmita Sarkar</v>
      </c>
      <c r="O26" t="str">
        <v>Mouse</v>
      </c>
      <c r="P26">
        <v>25</v>
      </c>
      <c r="Q26">
        <v>899</v>
      </c>
      <c r="R26">
        <v>22475</v>
      </c>
      <c r="S26" t="str">
        <v>Hydrabad</v>
      </c>
    </row>
    <row r="27" spans="1:19" x14ac:dyDescent="0.25">
      <c r="A27" s="1" t="s">
        <v>165</v>
      </c>
      <c r="B27" s="60">
        <v>46017</v>
      </c>
      <c r="C27" s="1" t="s">
        <v>199</v>
      </c>
      <c r="D27" s="1" t="s">
        <v>130</v>
      </c>
      <c r="E27" s="1">
        <v>25</v>
      </c>
      <c r="F27" s="1">
        <v>1999</v>
      </c>
      <c r="G27" s="1">
        <f t="shared" si="0"/>
        <v>49975</v>
      </c>
      <c r="H27" s="1" t="s">
        <v>137</v>
      </c>
      <c r="L27" t="str">
        <v>T014</v>
      </c>
      <c r="M27" s="44">
        <v>46005</v>
      </c>
      <c r="N27" t="str">
        <v>Hema Sharma</v>
      </c>
      <c r="O27" t="str">
        <v>Headphone</v>
      </c>
      <c r="P27">
        <v>25</v>
      </c>
      <c r="Q27">
        <v>2999</v>
      </c>
      <c r="R27">
        <v>74975</v>
      </c>
      <c r="S27" t="str">
        <v>Hydrabad</v>
      </c>
    </row>
    <row r="28" spans="1:19" x14ac:dyDescent="0.25">
      <c r="A28" s="1" t="s">
        <v>166</v>
      </c>
      <c r="B28" s="60">
        <v>46018</v>
      </c>
      <c r="C28" s="1" t="s">
        <v>200</v>
      </c>
      <c r="D28" s="1" t="s">
        <v>132</v>
      </c>
      <c r="E28" s="1">
        <v>23</v>
      </c>
      <c r="F28" s="1">
        <v>2999</v>
      </c>
      <c r="G28" s="1">
        <f t="shared" si="0"/>
        <v>68977</v>
      </c>
      <c r="H28" s="1" t="s">
        <v>135</v>
      </c>
      <c r="L28" t="str">
        <v>T026</v>
      </c>
      <c r="M28" s="44">
        <v>46017</v>
      </c>
      <c r="N28" t="str">
        <v>Tushant Yadav</v>
      </c>
      <c r="O28" t="str">
        <v>Keyboard</v>
      </c>
      <c r="P28">
        <v>25</v>
      </c>
      <c r="Q28">
        <v>1999</v>
      </c>
      <c r="R28">
        <v>49975</v>
      </c>
      <c r="S28" t="str">
        <v>Hydrabad</v>
      </c>
    </row>
    <row r="29" spans="1:19" x14ac:dyDescent="0.25">
      <c r="A29" s="1" t="s">
        <v>167</v>
      </c>
      <c r="B29" s="60">
        <v>46019</v>
      </c>
      <c r="C29" s="1" t="s">
        <v>201</v>
      </c>
      <c r="D29" s="1" t="s">
        <v>131</v>
      </c>
      <c r="E29" s="1">
        <v>14</v>
      </c>
      <c r="F29" s="1">
        <v>899</v>
      </c>
      <c r="G29" s="1">
        <f t="shared" si="0"/>
        <v>12586</v>
      </c>
      <c r="H29" s="1" t="s">
        <v>135</v>
      </c>
      <c r="L29" t="str">
        <v>T030</v>
      </c>
      <c r="M29" s="44">
        <v>46021</v>
      </c>
      <c r="N29" t="str">
        <v>Rinki Negi</v>
      </c>
      <c r="O29" t="str">
        <v>Laptop</v>
      </c>
      <c r="P29">
        <v>25</v>
      </c>
      <c r="Q29">
        <v>69999</v>
      </c>
      <c r="R29">
        <v>1749975</v>
      </c>
      <c r="S29" t="str">
        <v>Hydrabad</v>
      </c>
    </row>
    <row r="30" spans="1:19" x14ac:dyDescent="0.25">
      <c r="A30" s="1" t="s">
        <v>168</v>
      </c>
      <c r="B30" s="60">
        <v>46020</v>
      </c>
      <c r="C30" s="1" t="s">
        <v>202</v>
      </c>
      <c r="D30" s="1" t="s">
        <v>133</v>
      </c>
      <c r="E30" s="1">
        <v>18</v>
      </c>
      <c r="F30" s="1">
        <v>14999</v>
      </c>
      <c r="G30" s="1">
        <f t="shared" si="0"/>
        <v>269982</v>
      </c>
      <c r="H30" s="1" t="s">
        <v>140</v>
      </c>
      <c r="L30" t="str">
        <v>T015</v>
      </c>
      <c r="M30" s="44">
        <v>46006</v>
      </c>
      <c r="N30" t="str">
        <v>Md Ubedulla</v>
      </c>
      <c r="O30" t="str">
        <v>Keyboard</v>
      </c>
      <c r="P30">
        <v>24</v>
      </c>
      <c r="Q30">
        <v>1999</v>
      </c>
      <c r="R30">
        <v>47976</v>
      </c>
      <c r="S30" t="str">
        <v>Delhi</v>
      </c>
    </row>
    <row r="31" spans="1:19" x14ac:dyDescent="0.25">
      <c r="A31" s="1" t="s">
        <v>169</v>
      </c>
      <c r="B31" s="60">
        <v>46021</v>
      </c>
      <c r="C31" s="1" t="s">
        <v>203</v>
      </c>
      <c r="D31" s="1" t="s">
        <v>134</v>
      </c>
      <c r="E31" s="1">
        <v>25</v>
      </c>
      <c r="F31" s="1">
        <v>69999</v>
      </c>
      <c r="G31" s="1">
        <f t="shared" si="0"/>
        <v>1749975</v>
      </c>
      <c r="H31" s="1" t="s">
        <v>137</v>
      </c>
      <c r="L31" t="str">
        <v>T007</v>
      </c>
      <c r="M31" s="44">
        <v>45998</v>
      </c>
      <c r="N31" t="str">
        <v>Pushkar Chandra Sanwal</v>
      </c>
      <c r="O31" t="str">
        <v>Webcam</v>
      </c>
      <c r="P31">
        <v>23</v>
      </c>
      <c r="Q31">
        <v>8099</v>
      </c>
      <c r="R31">
        <v>186277</v>
      </c>
      <c r="S31" t="str">
        <v>Almora</v>
      </c>
    </row>
    <row r="32" spans="1:19" x14ac:dyDescent="0.25">
      <c r="A32" s="1" t="s">
        <v>170</v>
      </c>
      <c r="B32" s="60">
        <v>46022</v>
      </c>
      <c r="C32" s="1" t="s">
        <v>204</v>
      </c>
      <c r="D32" s="1" t="s">
        <v>132</v>
      </c>
      <c r="E32" s="1">
        <v>15</v>
      </c>
      <c r="F32" s="1">
        <v>2999</v>
      </c>
      <c r="G32" s="1">
        <f t="shared" si="0"/>
        <v>44985</v>
      </c>
      <c r="H32" s="1" t="s">
        <v>136</v>
      </c>
      <c r="L32" t="str">
        <v>T027</v>
      </c>
      <c r="M32" s="44">
        <v>46018</v>
      </c>
      <c r="N32" t="str">
        <v>Sumit Sahgal</v>
      </c>
      <c r="O32" t="str">
        <v>Headphone</v>
      </c>
      <c r="P32">
        <v>23</v>
      </c>
      <c r="Q32">
        <v>2999</v>
      </c>
      <c r="R32">
        <v>68977</v>
      </c>
      <c r="S32" t="str">
        <v>Delhi</v>
      </c>
    </row>
    <row r="33" spans="1:19" x14ac:dyDescent="0.25">
      <c r="A33" s="1" t="s">
        <v>171</v>
      </c>
      <c r="B33" s="60">
        <v>46023</v>
      </c>
      <c r="C33" s="1" t="s">
        <v>205</v>
      </c>
      <c r="D33" s="1" t="s">
        <v>131</v>
      </c>
      <c r="E33" s="1">
        <v>23</v>
      </c>
      <c r="F33" s="1">
        <v>899</v>
      </c>
      <c r="G33" s="1">
        <f t="shared" si="0"/>
        <v>20677</v>
      </c>
      <c r="H33" s="1" t="s">
        <v>136</v>
      </c>
      <c r="L33" t="str">
        <v>T032</v>
      </c>
      <c r="M33" s="44">
        <v>46023</v>
      </c>
      <c r="N33" t="str">
        <v>Yogesh Kumar</v>
      </c>
      <c r="O33" t="str">
        <v>Mouse</v>
      </c>
      <c r="P33">
        <v>23</v>
      </c>
      <c r="Q33">
        <v>899</v>
      </c>
      <c r="R33">
        <v>20677</v>
      </c>
      <c r="S33" t="str">
        <v>Pune</v>
      </c>
    </row>
    <row r="34" spans="1:19" x14ac:dyDescent="0.25">
      <c r="A34" s="1" t="s">
        <v>172</v>
      </c>
      <c r="B34" s="60">
        <v>46024</v>
      </c>
      <c r="C34" s="1" t="s">
        <v>206</v>
      </c>
      <c r="D34" s="1" t="s">
        <v>133</v>
      </c>
      <c r="E34" s="1">
        <v>16</v>
      </c>
      <c r="F34" s="1">
        <v>14999</v>
      </c>
      <c r="G34" s="1">
        <f t="shared" si="0"/>
        <v>239984</v>
      </c>
      <c r="H34" s="1" t="s">
        <v>138</v>
      </c>
      <c r="L34" t="str">
        <v>T009</v>
      </c>
      <c r="M34" s="44">
        <v>46000</v>
      </c>
      <c r="N34" t="str">
        <v>Rohit Singh</v>
      </c>
      <c r="O34" t="str">
        <v>Headphone</v>
      </c>
      <c r="P34">
        <v>21</v>
      </c>
      <c r="Q34">
        <v>2999</v>
      </c>
      <c r="R34">
        <v>62979</v>
      </c>
      <c r="S34" t="str">
        <v>Hydrabad</v>
      </c>
    </row>
    <row r="35" spans="1:19" x14ac:dyDescent="0.25">
      <c r="A35" s="1" t="s">
        <v>173</v>
      </c>
      <c r="B35" s="60">
        <v>46025</v>
      </c>
      <c r="C35" s="1" t="s">
        <v>207</v>
      </c>
      <c r="D35" s="1" t="s">
        <v>132</v>
      </c>
      <c r="E35" s="1">
        <v>13</v>
      </c>
      <c r="F35" s="1">
        <v>2999</v>
      </c>
      <c r="G35" s="1">
        <f t="shared" si="0"/>
        <v>38987</v>
      </c>
      <c r="H35" s="1" t="s">
        <v>137</v>
      </c>
      <c r="L35" t="str">
        <v>T016</v>
      </c>
      <c r="M35" s="44">
        <v>46007</v>
      </c>
      <c r="N35" t="str">
        <v>Shah Alam</v>
      </c>
      <c r="O35" t="str">
        <v>Mouse</v>
      </c>
      <c r="P35">
        <v>21</v>
      </c>
      <c r="Q35">
        <v>899</v>
      </c>
      <c r="R35">
        <v>18879</v>
      </c>
      <c r="S35" t="str">
        <v>Pune</v>
      </c>
    </row>
    <row r="36" spans="1:19" x14ac:dyDescent="0.25">
      <c r="L36" t="str">
        <v>T002</v>
      </c>
      <c r="M36" s="44">
        <v>45993</v>
      </c>
      <c r="N36" t="str">
        <v>Bhupender Singh</v>
      </c>
      <c r="O36" t="str">
        <v>Keyboard</v>
      </c>
      <c r="P36">
        <v>20</v>
      </c>
      <c r="Q36">
        <v>1999</v>
      </c>
      <c r="R36">
        <v>39980</v>
      </c>
      <c r="S36" t="str">
        <v>Pune</v>
      </c>
    </row>
    <row r="37" spans="1:19" x14ac:dyDescent="0.25">
      <c r="L37" t="str">
        <v>T012</v>
      </c>
      <c r="M37" s="44">
        <v>46003</v>
      </c>
      <c r="N37" t="str">
        <v>Aniket Rana</v>
      </c>
      <c r="O37" t="str">
        <v>Webcam</v>
      </c>
      <c r="P37">
        <v>20</v>
      </c>
      <c r="Q37">
        <v>8099</v>
      </c>
      <c r="R37">
        <v>161980</v>
      </c>
      <c r="S37" t="str">
        <v>Pune</v>
      </c>
    </row>
    <row r="38" spans="1:19" x14ac:dyDescent="0.25">
      <c r="L38" t="str">
        <v>T021</v>
      </c>
      <c r="M38" s="44">
        <v>46012</v>
      </c>
      <c r="N38" t="str">
        <v>Renuka Kujur</v>
      </c>
      <c r="O38" t="str">
        <v>Tablet</v>
      </c>
      <c r="P38">
        <v>20</v>
      </c>
      <c r="Q38">
        <v>14999</v>
      </c>
      <c r="R38">
        <v>299980</v>
      </c>
      <c r="S38" t="str">
        <v>Hydrabad</v>
      </c>
    </row>
    <row r="39" spans="1:19" x14ac:dyDescent="0.25">
      <c r="L39" t="str">
        <v>T013</v>
      </c>
      <c r="M39" s="44">
        <v>46004</v>
      </c>
      <c r="N39" t="str">
        <v>Akash</v>
      </c>
      <c r="O39" t="str">
        <v>Laptop</v>
      </c>
      <c r="P39">
        <v>19</v>
      </c>
      <c r="Q39">
        <v>69999</v>
      </c>
      <c r="R39">
        <v>1329981</v>
      </c>
      <c r="S39" t="str">
        <v>Almora</v>
      </c>
    </row>
    <row r="40" spans="1:19" x14ac:dyDescent="0.25">
      <c r="L40" t="str">
        <v>T010</v>
      </c>
      <c r="M40" s="44">
        <v>46001</v>
      </c>
      <c r="N40" t="str">
        <v>Dileep Tripathi</v>
      </c>
      <c r="O40" t="str">
        <v>Keyboard</v>
      </c>
      <c r="P40">
        <v>18</v>
      </c>
      <c r="Q40">
        <v>1999</v>
      </c>
      <c r="R40">
        <v>35982</v>
      </c>
      <c r="S40" t="str">
        <v>Pune</v>
      </c>
    </row>
    <row r="41" spans="1:19" x14ac:dyDescent="0.25">
      <c r="L41" t="str">
        <v>T029</v>
      </c>
      <c r="M41" s="44">
        <v>46020</v>
      </c>
      <c r="N41" t="str">
        <v>Ravi Kumar</v>
      </c>
      <c r="O41" t="str">
        <v>Tablet</v>
      </c>
      <c r="P41">
        <v>18</v>
      </c>
      <c r="Q41">
        <v>14999</v>
      </c>
      <c r="R41">
        <v>269982</v>
      </c>
      <c r="S41" t="str">
        <v>Bengaluru</v>
      </c>
    </row>
    <row r="42" spans="1:19" x14ac:dyDescent="0.25">
      <c r="L42" t="str">
        <v>T024</v>
      </c>
      <c r="M42" s="44">
        <v>46015</v>
      </c>
      <c r="N42" t="str">
        <v>Arun Kumar</v>
      </c>
      <c r="O42" t="str">
        <v>Laptop</v>
      </c>
      <c r="P42">
        <v>17</v>
      </c>
      <c r="Q42">
        <v>69999</v>
      </c>
      <c r="R42">
        <v>1189983</v>
      </c>
      <c r="S42" t="str">
        <v>Mumbai</v>
      </c>
    </row>
    <row r="43" spans="1:19" x14ac:dyDescent="0.25">
      <c r="L43" t="str">
        <v>T025</v>
      </c>
      <c r="M43" s="44">
        <v>46016</v>
      </c>
      <c r="N43" t="str">
        <v>Prakash Kumar</v>
      </c>
      <c r="O43" t="str">
        <v>Tablet</v>
      </c>
      <c r="P43">
        <v>16</v>
      </c>
      <c r="Q43">
        <v>14999</v>
      </c>
      <c r="R43">
        <v>239984</v>
      </c>
      <c r="S43" t="str">
        <v>Mumbai</v>
      </c>
    </row>
    <row r="44" spans="1:19" x14ac:dyDescent="0.25">
      <c r="L44" t="str">
        <v>T033</v>
      </c>
      <c r="M44" s="44">
        <v>46024</v>
      </c>
      <c r="N44" t="str">
        <v>Bharat Shukla</v>
      </c>
      <c r="O44" t="str">
        <v>Tablet</v>
      </c>
      <c r="P44">
        <v>16</v>
      </c>
      <c r="Q44">
        <v>14999</v>
      </c>
      <c r="R44">
        <v>239984</v>
      </c>
      <c r="S44" t="str">
        <v>Almora</v>
      </c>
    </row>
    <row r="45" spans="1:19" x14ac:dyDescent="0.25">
      <c r="L45" t="str">
        <v>T006</v>
      </c>
      <c r="M45" s="44">
        <v>45997</v>
      </c>
      <c r="N45" t="str">
        <v>Inder Kumar</v>
      </c>
      <c r="O45" t="str">
        <v>Laptop</v>
      </c>
      <c r="P45">
        <v>15</v>
      </c>
      <c r="Q45">
        <v>69999</v>
      </c>
      <c r="R45">
        <v>1049985</v>
      </c>
      <c r="S45" t="str">
        <v>Bengaluru</v>
      </c>
    </row>
    <row r="46" spans="1:19" x14ac:dyDescent="0.25">
      <c r="L46" t="str">
        <v>T031</v>
      </c>
      <c r="M46" s="44">
        <v>46022</v>
      </c>
      <c r="N46" t="str">
        <v>Victor Raj</v>
      </c>
      <c r="O46" t="str">
        <v>Headphone</v>
      </c>
      <c r="P46">
        <v>15</v>
      </c>
      <c r="Q46">
        <v>2999</v>
      </c>
      <c r="R46">
        <v>44985</v>
      </c>
      <c r="S46" t="str">
        <v>Pune</v>
      </c>
    </row>
    <row r="47" spans="1:19" x14ac:dyDescent="0.25">
      <c r="L47" t="str">
        <v>T008</v>
      </c>
      <c r="M47" s="44">
        <v>45999</v>
      </c>
      <c r="N47" t="str">
        <v>Dilip Kumar</v>
      </c>
      <c r="O47" t="str">
        <v>Laptop</v>
      </c>
      <c r="P47">
        <v>14</v>
      </c>
      <c r="Q47">
        <v>69999</v>
      </c>
      <c r="R47">
        <v>979986</v>
      </c>
      <c r="S47" t="str">
        <v>Hydrabad</v>
      </c>
    </row>
    <row r="48" spans="1:19" x14ac:dyDescent="0.25">
      <c r="L48" t="str">
        <v>T011</v>
      </c>
      <c r="M48" s="44">
        <v>46002</v>
      </c>
      <c r="N48" t="str">
        <v>Deepak Ghildiyal</v>
      </c>
      <c r="O48" t="str">
        <v>Mouse</v>
      </c>
      <c r="P48">
        <v>14</v>
      </c>
      <c r="Q48">
        <v>899</v>
      </c>
      <c r="R48">
        <v>12586</v>
      </c>
      <c r="S48" t="str">
        <v>Pune</v>
      </c>
    </row>
    <row r="49" spans="12:19" x14ac:dyDescent="0.25">
      <c r="L49" t="str">
        <v>T018</v>
      </c>
      <c r="M49" s="44">
        <v>46009</v>
      </c>
      <c r="N49" t="str">
        <v>Vipin Kumar</v>
      </c>
      <c r="O49" t="str">
        <v>Laptop</v>
      </c>
      <c r="P49">
        <v>14</v>
      </c>
      <c r="Q49">
        <v>69999</v>
      </c>
      <c r="R49">
        <v>979986</v>
      </c>
      <c r="S49" t="str">
        <v>Almora</v>
      </c>
    </row>
    <row r="50" spans="12:19" x14ac:dyDescent="0.25">
      <c r="L50" t="str">
        <v>T028</v>
      </c>
      <c r="M50" s="44">
        <v>46019</v>
      </c>
      <c r="N50" t="str">
        <v>Sachin Pratap Singh</v>
      </c>
      <c r="O50" t="str">
        <v>Mouse</v>
      </c>
      <c r="P50">
        <v>14</v>
      </c>
      <c r="Q50">
        <v>899</v>
      </c>
      <c r="R50">
        <v>12586</v>
      </c>
      <c r="S50" t="str">
        <v>Delhi</v>
      </c>
    </row>
    <row r="51" spans="12:19" x14ac:dyDescent="0.25">
      <c r="L51" t="str">
        <v>T017</v>
      </c>
      <c r="M51" s="44">
        <v>46008</v>
      </c>
      <c r="N51" t="str">
        <v>Sachin</v>
      </c>
      <c r="O51" t="str">
        <v>Webcam</v>
      </c>
      <c r="P51">
        <v>13</v>
      </c>
      <c r="Q51">
        <v>8099</v>
      </c>
      <c r="R51">
        <v>105287</v>
      </c>
      <c r="S51" t="str">
        <v>Pune</v>
      </c>
    </row>
    <row r="52" spans="12:19" x14ac:dyDescent="0.25">
      <c r="L52" t="str">
        <v>T020</v>
      </c>
      <c r="M52" s="44">
        <v>46011</v>
      </c>
      <c r="N52" t="str">
        <v>Mohd Fareed</v>
      </c>
      <c r="O52" t="str">
        <v>Keyboard</v>
      </c>
      <c r="P52">
        <v>13</v>
      </c>
      <c r="Q52">
        <v>1999</v>
      </c>
      <c r="R52">
        <v>25987</v>
      </c>
      <c r="S52" t="str">
        <v>Pune</v>
      </c>
    </row>
    <row r="53" spans="12:19" x14ac:dyDescent="0.25">
      <c r="L53" t="str">
        <v>T034</v>
      </c>
      <c r="M53" s="44">
        <v>46025</v>
      </c>
      <c r="N53" t="str">
        <v>Shashank Mathur</v>
      </c>
      <c r="O53" t="str">
        <v>Headphone</v>
      </c>
      <c r="P53">
        <v>13</v>
      </c>
      <c r="Q53">
        <v>2999</v>
      </c>
      <c r="R53">
        <v>38987</v>
      </c>
      <c r="S53" t="str">
        <v>Hydrabad</v>
      </c>
    </row>
    <row r="54" spans="12:19" x14ac:dyDescent="0.25">
      <c r="L54" t="str">
        <v>T019</v>
      </c>
      <c r="M54" s="44">
        <v>46010</v>
      </c>
      <c r="N54" t="str">
        <v>Deep Chandra Joshi</v>
      </c>
      <c r="O54" t="str">
        <v>Headphone</v>
      </c>
      <c r="P54">
        <v>11</v>
      </c>
      <c r="Q54">
        <v>2999</v>
      </c>
      <c r="R54">
        <v>32989</v>
      </c>
      <c r="S54" t="str">
        <v>Pune</v>
      </c>
    </row>
    <row r="55" spans="12:19" x14ac:dyDescent="0.25">
      <c r="L55" t="str">
        <v>T023</v>
      </c>
      <c r="M55" s="44">
        <v>46014</v>
      </c>
      <c r="N55" t="str">
        <v>Tannu</v>
      </c>
      <c r="O55" t="str">
        <v>Headphone</v>
      </c>
      <c r="P55">
        <v>11</v>
      </c>
      <c r="Q55">
        <v>2999</v>
      </c>
      <c r="R55">
        <v>32989</v>
      </c>
      <c r="S55" t="str">
        <v>Almora</v>
      </c>
    </row>
    <row r="56" spans="12:19" x14ac:dyDescent="0.25">
      <c r="L56" t="str">
        <v>T005</v>
      </c>
      <c r="M56" s="44">
        <v>45996</v>
      </c>
      <c r="N56" t="str">
        <v>Mohit Kumar Chaudhary</v>
      </c>
      <c r="O56" t="str">
        <v>Tablet</v>
      </c>
      <c r="P56">
        <v>10</v>
      </c>
      <c r="Q56">
        <v>14999</v>
      </c>
      <c r="R56">
        <v>149990</v>
      </c>
      <c r="S56" t="str">
        <v>Mumbai</v>
      </c>
    </row>
    <row r="57" spans="12:19" x14ac:dyDescent="0.25">
      <c r="L57" t="str">
        <v>T022</v>
      </c>
      <c r="M57" s="44">
        <v>46013</v>
      </c>
      <c r="N57" t="str">
        <v>Karan Kumar</v>
      </c>
      <c r="O57" t="str">
        <v>Mouse</v>
      </c>
      <c r="P57">
        <v>10</v>
      </c>
      <c r="Q57">
        <v>899</v>
      </c>
      <c r="R57">
        <v>8990</v>
      </c>
      <c r="S57" t="str">
        <v>Delhi</v>
      </c>
    </row>
    <row r="58" spans="12:19" x14ac:dyDescent="0.25">
      <c r="L58" t="str">
        <v>T001</v>
      </c>
      <c r="M58" s="44">
        <v>45992</v>
      </c>
      <c r="N58" t="str">
        <v>Neeraj Bisht</v>
      </c>
      <c r="O58" t="str">
        <v>Webcam</v>
      </c>
      <c r="P58">
        <v>5</v>
      </c>
      <c r="Q58">
        <v>8099</v>
      </c>
      <c r="R58">
        <v>40495</v>
      </c>
      <c r="S58" t="str">
        <v>Delhi</v>
      </c>
    </row>
  </sheetData>
  <mergeCells count="3">
    <mergeCell ref="M13:P14"/>
    <mergeCell ref="M22:P23"/>
    <mergeCell ref="M1:P2"/>
  </mergeCells>
  <conditionalFormatting sqref="B2:B35">
    <cfRule type="expression" dxfId="0" priority="1">
      <formula>$D2="Mouse"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Shortcuts</vt:lpstr>
      <vt:lpstr>Basics</vt:lpstr>
      <vt:lpstr>Basic Calculation</vt:lpstr>
      <vt:lpstr>Time &amp; Date</vt:lpstr>
      <vt:lpstr>SUMIF &amp; SUMIFS</vt:lpstr>
      <vt:lpstr>CountIF &amp; CountIFS</vt:lpstr>
      <vt:lpstr>LOOKUP AND REFERENCE</vt:lpstr>
      <vt:lpstr>Data Validation</vt:lpstr>
      <vt:lpstr>INDEX &amp; MATCH</vt:lpstr>
      <vt:lpstr>Conditional Formatting</vt:lpstr>
      <vt:lpstr>TEXT</vt:lpstr>
      <vt:lpstr>MIX</vt:lpstr>
      <vt:lpstr>Pivot Tables &amp; Pivot Charts</vt:lpstr>
      <vt:lpstr>NOTES</vt:lpstr>
      <vt:lpstr>Filter &amp; Sort Formula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 Chandra Joshi</dc:creator>
  <cp:lastModifiedBy>Deep Chandra Joshi</cp:lastModifiedBy>
  <dcterms:created xsi:type="dcterms:W3CDTF">2025-11-22T12:30:24Z</dcterms:created>
  <dcterms:modified xsi:type="dcterms:W3CDTF">2026-02-04T00:25:50Z</dcterms:modified>
</cp:coreProperties>
</file>
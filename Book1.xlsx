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imelines/timeline1.xml" ContentType="application/vnd.ms-excel.timelin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Documents\MIS AUG 2026\"/>
    </mc:Choice>
  </mc:AlternateContent>
  <bookViews>
    <workbookView xWindow="-120" yWindow="-120" windowWidth="20730" windowHeight="11160" tabRatio="723" firstSheet="6" activeTab="6"/>
  </bookViews>
  <sheets>
    <sheet name="SHORTCUT KEYS" sheetId="1" r:id="rId1"/>
    <sheet name="Basic Calculation 1" sheetId="4" r:id="rId2"/>
    <sheet name="Basic Calculation 2" sheetId="7" r:id="rId3"/>
    <sheet name="TEXT" sheetId="6" r:id="rId4"/>
    <sheet name="Number Format" sheetId="2" r:id="rId5"/>
    <sheet name="Conditional Statement" sheetId="5" r:id="rId6"/>
    <sheet name="Conditional Formatting 1" sheetId="9" r:id="rId7"/>
    <sheet name="Conditional Formatting 2" sheetId="8" r:id="rId8"/>
    <sheet name="Sort &amp; Filter" sheetId="10" r:id="rId9"/>
    <sheet name="Data Validation" sheetId="11" r:id="rId10"/>
    <sheet name="Pivot Table Data" sheetId="12" r:id="rId11"/>
    <sheet name="Pivot Chart" sheetId="13" r:id="rId12"/>
    <sheet name="Slicer" sheetId="14" r:id="rId13"/>
    <sheet name="Timeline" sheetId="15" r:id="rId14"/>
  </sheets>
  <definedNames>
    <definedName name="_xlnm._FilterDatabase" localSheetId="8" hidden="1">'Sort &amp; Filter'!$H$1:$H$101</definedName>
    <definedName name="NativeTimeline_Order_Date">#N/A</definedName>
    <definedName name="Slicer_Country">#N/A</definedName>
    <definedName name="Slicer_Region">#N/A</definedName>
  </definedNames>
  <calcPr calcId="162913"/>
  <pivotCaches>
    <pivotCache cacheId="130" r:id="rId15"/>
  </pivotCaches>
  <extLs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8"/>
      </x15:timelineCacheRef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6" i="9" l="1"/>
  <c r="L5" i="9"/>
  <c r="L4" i="9"/>
  <c r="L3" i="9"/>
  <c r="L2" i="9"/>
  <c r="F3" i="9"/>
  <c r="F4" i="9"/>
  <c r="F5" i="9"/>
  <c r="F6" i="9"/>
  <c r="F2" i="9"/>
  <c r="E3" i="9"/>
  <c r="E4" i="9"/>
  <c r="E5" i="9"/>
  <c r="E6" i="9"/>
  <c r="E2" i="9"/>
  <c r="K19" i="5"/>
  <c r="K21" i="5"/>
  <c r="K20" i="5"/>
  <c r="K18" i="5"/>
  <c r="K22" i="5"/>
  <c r="N7" i="5" l="1"/>
  <c r="O7" i="5" s="1"/>
  <c r="M7" i="5"/>
  <c r="P7" i="5" s="1"/>
  <c r="O6" i="5"/>
  <c r="N6" i="5"/>
  <c r="M6" i="5"/>
  <c r="P6" i="5" s="1"/>
  <c r="N5" i="5"/>
  <c r="O5" i="5" s="1"/>
  <c r="M5" i="5"/>
  <c r="O4" i="5"/>
  <c r="N4" i="5"/>
  <c r="M4" i="5"/>
  <c r="P4" i="5" s="1"/>
  <c r="N3" i="5"/>
  <c r="O3" i="5" s="1"/>
  <c r="M3" i="5"/>
  <c r="P3" i="5" l="1"/>
  <c r="P5" i="5"/>
  <c r="E14" i="5" l="1"/>
  <c r="E15" i="5"/>
  <c r="E16" i="5"/>
  <c r="E17" i="5"/>
  <c r="E13" i="5"/>
  <c r="D14" i="5"/>
  <c r="D15" i="5"/>
  <c r="D16" i="5"/>
  <c r="D17" i="5"/>
  <c r="D13" i="5"/>
  <c r="G3" i="5"/>
  <c r="G4" i="5"/>
  <c r="G5" i="5"/>
  <c r="G6" i="5"/>
  <c r="G2" i="5"/>
  <c r="E6" i="5"/>
  <c r="F6" i="5" s="1"/>
  <c r="E5" i="5"/>
  <c r="F5" i="5" s="1"/>
  <c r="E4" i="5"/>
  <c r="F4" i="5" s="1"/>
  <c r="E3" i="5"/>
  <c r="F3" i="5" s="1"/>
  <c r="E2" i="5"/>
  <c r="F2" i="5" s="1"/>
  <c r="G16" i="2"/>
  <c r="G17" i="2"/>
  <c r="G18" i="2"/>
  <c r="G19" i="2"/>
  <c r="G15" i="2"/>
  <c r="F16" i="2"/>
  <c r="F17" i="2"/>
  <c r="F18" i="2"/>
  <c r="F19" i="2"/>
  <c r="F15" i="2"/>
  <c r="G19" i="7" l="1"/>
  <c r="G18" i="7"/>
  <c r="G17" i="7"/>
  <c r="G16" i="7"/>
  <c r="K15" i="7"/>
  <c r="G15" i="7"/>
  <c r="G14" i="7"/>
  <c r="G13" i="7"/>
  <c r="G12" i="7"/>
  <c r="D8" i="7"/>
  <c r="J7" i="7"/>
  <c r="D7" i="7"/>
  <c r="J6" i="7"/>
  <c r="J5" i="7"/>
  <c r="J4" i="7"/>
  <c r="J12" i="6"/>
  <c r="J11" i="6"/>
  <c r="J10" i="6"/>
  <c r="J9" i="6"/>
  <c r="D9" i="6"/>
  <c r="F9" i="6" s="1"/>
  <c r="J8" i="6"/>
  <c r="F8" i="6"/>
  <c r="D8" i="6"/>
  <c r="J7" i="6"/>
  <c r="D7" i="6"/>
  <c r="F7" i="6" s="1"/>
  <c r="J6" i="6"/>
  <c r="F6" i="6"/>
  <c r="D6" i="6"/>
  <c r="J5" i="6"/>
  <c r="D5" i="6"/>
  <c r="F5" i="6" s="1"/>
  <c r="J4" i="6"/>
  <c r="F4" i="6"/>
  <c r="D4" i="6"/>
  <c r="J3" i="6"/>
  <c r="D3" i="6"/>
  <c r="F3" i="6" s="1"/>
  <c r="D2" i="6"/>
  <c r="F2" i="6" s="1"/>
  <c r="C2" i="6"/>
  <c r="I16" i="4" l="1"/>
  <c r="I17" i="4"/>
  <c r="I18" i="4"/>
  <c r="I19" i="4"/>
  <c r="I20" i="4"/>
  <c r="I21" i="4"/>
  <c r="I22" i="4"/>
  <c r="I23" i="4"/>
  <c r="I24" i="4"/>
  <c r="I15" i="4"/>
  <c r="H16" i="4"/>
  <c r="H17" i="4"/>
  <c r="H18" i="4"/>
  <c r="H19" i="4"/>
  <c r="H20" i="4"/>
  <c r="H21" i="4"/>
  <c r="H22" i="4"/>
  <c r="H23" i="4"/>
  <c r="H24" i="4"/>
  <c r="H15" i="4"/>
  <c r="G16" i="4"/>
  <c r="G17" i="4"/>
  <c r="G18" i="4"/>
  <c r="G19" i="4"/>
  <c r="G20" i="4"/>
  <c r="G21" i="4"/>
  <c r="G22" i="4"/>
  <c r="G23" i="4"/>
  <c r="G24" i="4"/>
  <c r="G15" i="4"/>
  <c r="R3" i="4"/>
  <c r="J2" i="4"/>
  <c r="K2" i="4"/>
  <c r="L2" i="4"/>
  <c r="M2" i="4"/>
  <c r="J3" i="4"/>
  <c r="K3" i="4"/>
  <c r="L3" i="4"/>
  <c r="M3" i="4"/>
  <c r="J4" i="4"/>
  <c r="K4" i="4"/>
  <c r="L4" i="4"/>
  <c r="M4" i="4"/>
  <c r="J5" i="4"/>
  <c r="K5" i="4"/>
  <c r="L5" i="4"/>
  <c r="M5" i="4"/>
  <c r="J6" i="4"/>
  <c r="K6" i="4"/>
  <c r="L6" i="4"/>
  <c r="M6" i="4"/>
  <c r="J7" i="4"/>
  <c r="K7" i="4"/>
  <c r="L7" i="4"/>
  <c r="M7" i="4"/>
  <c r="J8" i="4"/>
  <c r="K8" i="4"/>
  <c r="L8" i="4"/>
  <c r="M8" i="4"/>
  <c r="J9" i="4"/>
  <c r="K9" i="4"/>
  <c r="L9" i="4"/>
  <c r="M9" i="4"/>
  <c r="J10" i="4"/>
  <c r="K10" i="4"/>
  <c r="L10" i="4"/>
  <c r="M10" i="4"/>
  <c r="J11" i="4"/>
  <c r="K11" i="4"/>
  <c r="L11" i="4"/>
  <c r="M11" i="4"/>
</calcChain>
</file>

<file path=xl/sharedStrings.xml><?xml version="1.0" encoding="utf-8"?>
<sst xmlns="http://schemas.openxmlformats.org/spreadsheetml/2006/main" count="13619" uniqueCount="1203">
  <si>
    <t>Workbook Movement</t>
  </si>
  <si>
    <t>Sheet Movement</t>
  </si>
  <si>
    <t>Hold CNTL + TAB</t>
  </si>
  <si>
    <t>Hold CNTL + PgDn</t>
  </si>
  <si>
    <t>Cells Movement(Right)</t>
  </si>
  <si>
    <t>TAB</t>
  </si>
  <si>
    <t>Hold SHIFT +TAB</t>
  </si>
  <si>
    <t>Hold SHIFT + ENTER</t>
  </si>
  <si>
    <t>ENTER</t>
  </si>
  <si>
    <t>Cells Movement(LEFT)</t>
  </si>
  <si>
    <t>Cells Movement(TOP)</t>
  </si>
  <si>
    <t>Cells Movement(BOTTOM)</t>
  </si>
  <si>
    <t>1st Cell</t>
  </si>
  <si>
    <t>End Cell</t>
  </si>
  <si>
    <t>Hold CNTL + HOME</t>
  </si>
  <si>
    <t>Hold CNTL + END</t>
  </si>
  <si>
    <t>SHORTCUT</t>
  </si>
  <si>
    <t>KEYS</t>
  </si>
  <si>
    <t>S.No</t>
  </si>
  <si>
    <t>Name</t>
  </si>
  <si>
    <t>Amount</t>
  </si>
  <si>
    <t>Rahul Sharma</t>
  </si>
  <si>
    <t>Amit Kumar</t>
  </si>
  <si>
    <t>Rajesh Verma</t>
  </si>
  <si>
    <t>Suresh Yadav</t>
  </si>
  <si>
    <t>Deepak Singh</t>
  </si>
  <si>
    <t>Priya Gupta</t>
  </si>
  <si>
    <t>Pooja Sharma</t>
  </si>
  <si>
    <t>Neha Agarwal</t>
  </si>
  <si>
    <t>Anjali Mishra</t>
  </si>
  <si>
    <t>Sunita Patel</t>
  </si>
  <si>
    <t>Cell Height</t>
  </si>
  <si>
    <t>Cell Width</t>
  </si>
  <si>
    <t>CNTL + A + ALT + H + O + I</t>
  </si>
  <si>
    <t>CNTL + A + ALT + H + O +  A</t>
  </si>
  <si>
    <t>Data For Percentage</t>
  </si>
  <si>
    <t>Percentage (Post Change)</t>
  </si>
  <si>
    <t>Percentage (Pre Change)</t>
  </si>
  <si>
    <r>
      <t xml:space="preserve">Applying Percentage format does not change the actual value. Excel displays the value as a percentage by multiplying it by 100 and adding the % sign.
</t>
    </r>
    <r>
      <rPr>
        <b/>
        <sz val="11"/>
        <color theme="3" tint="-0.499984740745262"/>
        <rFont val="Calibri"/>
        <family val="2"/>
        <scheme val="minor"/>
      </rPr>
      <t>Example:</t>
    </r>
    <r>
      <rPr>
        <sz val="11"/>
        <color theme="3" tint="-0.499984740745262"/>
        <rFont val="Calibri"/>
        <family val="2"/>
        <scheme val="minor"/>
      </rPr>
      <t xml:space="preserve">
1 becomes 100%
0.01 becomes 1%
0.10 becomes 10%</t>
    </r>
  </si>
  <si>
    <t>JAN</t>
  </si>
  <si>
    <t>FEB</t>
  </si>
  <si>
    <t>MAR</t>
  </si>
  <si>
    <t>APR</t>
  </si>
  <si>
    <t>MAY</t>
  </si>
  <si>
    <t>JUN</t>
  </si>
  <si>
    <t>JUL</t>
  </si>
  <si>
    <t>AUG</t>
  </si>
  <si>
    <t>Total</t>
  </si>
  <si>
    <t>Average</t>
  </si>
  <si>
    <t>MAX</t>
  </si>
  <si>
    <t>MIN</t>
  </si>
  <si>
    <t>SUM</t>
  </si>
  <si>
    <t>Product</t>
  </si>
  <si>
    <t>count</t>
  </si>
  <si>
    <t>count only number</t>
  </si>
  <si>
    <t>counta</t>
  </si>
  <si>
    <t>count everything apart blank</t>
  </si>
  <si>
    <t>countblank</t>
  </si>
  <si>
    <t>count blank</t>
  </si>
  <si>
    <t>Student Name</t>
  </si>
  <si>
    <t>Hindi</t>
  </si>
  <si>
    <t>English</t>
  </si>
  <si>
    <t>Math</t>
  </si>
  <si>
    <t>Physics</t>
  </si>
  <si>
    <t>Chemistry</t>
  </si>
  <si>
    <t>ab</t>
  </si>
  <si>
    <t>Count</t>
  </si>
  <si>
    <t>Counta</t>
  </si>
  <si>
    <t>Countblank</t>
  </si>
  <si>
    <t>format only the blank cells</t>
  </si>
  <si>
    <t>Select your entire data range.
Press F5 (or Ctrl + G).
Click Special.
Select Blanks. - Click OK.
All blank cells will now be selected.
Go to Home → Fill Color</t>
  </si>
  <si>
    <t>First Name</t>
  </si>
  <si>
    <t>Last Name</t>
  </si>
  <si>
    <t>Last Name, First Name</t>
  </si>
  <si>
    <t>Full Name</t>
  </si>
  <si>
    <t>Formula Used</t>
  </si>
  <si>
    <t>LEN function</t>
  </si>
  <si>
    <t>Nancy</t>
  </si>
  <si>
    <t>Smith</t>
  </si>
  <si>
    <t>&amp;</t>
  </si>
  <si>
    <t>LEFT</t>
  </si>
  <si>
    <t>Data</t>
  </si>
  <si>
    <t>Output</t>
  </si>
  <si>
    <t>description</t>
  </si>
  <si>
    <t>Andy</t>
  </si>
  <si>
    <t>North</t>
  </si>
  <si>
    <t>CONCATENATE</t>
  </si>
  <si>
    <t>Apple</t>
  </si>
  <si>
    <t>5 characters</t>
  </si>
  <si>
    <t>Jan</t>
  </si>
  <si>
    <t>Kotas</t>
  </si>
  <si>
    <t>RIGHT</t>
  </si>
  <si>
    <t xml:space="preserve">Apple </t>
  </si>
  <si>
    <t>6 Characters hidden character space included</t>
  </si>
  <si>
    <t>Mariya</t>
  </si>
  <si>
    <t>Jones</t>
  </si>
  <si>
    <t>APPLE</t>
  </si>
  <si>
    <t>does'nt matter of case</t>
  </si>
  <si>
    <t>Steven</t>
  </si>
  <si>
    <t>Thorpe</t>
  </si>
  <si>
    <t>MID</t>
  </si>
  <si>
    <t>apple</t>
  </si>
  <si>
    <t>Michael</t>
  </si>
  <si>
    <t>Neipper</t>
  </si>
  <si>
    <t>Apple, Fruit</t>
  </si>
  <si>
    <t>space and comma included</t>
  </si>
  <si>
    <t>Robert</t>
  </si>
  <si>
    <t>Zare</t>
  </si>
  <si>
    <t>REPLACE</t>
  </si>
  <si>
    <t>empty is zero</t>
  </si>
  <si>
    <t>Yvonne</t>
  </si>
  <si>
    <t>McKay</t>
  </si>
  <si>
    <t>UPPER</t>
  </si>
  <si>
    <t>4 charcaters</t>
  </si>
  <si>
    <t>&amp;, CONCAENATE, LEFT, RIGHT, MID, REPLACE, UPPER, LEN</t>
  </si>
  <si>
    <t>negitive character will counts</t>
  </si>
  <si>
    <t>Date</t>
  </si>
  <si>
    <t>Executive</t>
  </si>
  <si>
    <t>Region</t>
  </si>
  <si>
    <t>Sales</t>
  </si>
  <si>
    <t>SUM AND SUBTOTAL</t>
  </si>
  <si>
    <t>Amit</t>
  </si>
  <si>
    <t>Round</t>
  </si>
  <si>
    <t>Neha</t>
  </si>
  <si>
    <t>South</t>
  </si>
  <si>
    <t>SUM adds all values in a range, while SUBTOTAL adds only visible values and ignores filtered or hidden rows.</t>
  </si>
  <si>
    <t>Teams</t>
  </si>
  <si>
    <t>TeamA</t>
  </si>
  <si>
    <t>Rahul</t>
  </si>
  <si>
    <t>East</t>
  </si>
  <si>
    <t>TeamB</t>
  </si>
  <si>
    <t>TeamC</t>
  </si>
  <si>
    <t>SUM=</t>
  </si>
  <si>
    <t>TeamD</t>
  </si>
  <si>
    <t>SUBTOTAL=</t>
  </si>
  <si>
    <t>SUM, SUBTOTAL, AVERAGE, AVERAGEIF, COUNTA, COUNTIF,ROUND, MOD</t>
  </si>
  <si>
    <t>Employee Data</t>
  </si>
  <si>
    <t>EMP Name</t>
  </si>
  <si>
    <t>Gender</t>
  </si>
  <si>
    <t>Sale Qty</t>
  </si>
  <si>
    <t>Salary</t>
  </si>
  <si>
    <t>Alice</t>
  </si>
  <si>
    <t>F</t>
  </si>
  <si>
    <t>Total Sale Qty</t>
  </si>
  <si>
    <t>MOD</t>
  </si>
  <si>
    <t>John</t>
  </si>
  <si>
    <t>M</t>
  </si>
  <si>
    <t>Total Salary</t>
  </si>
  <si>
    <t>Number</t>
  </si>
  <si>
    <t>Mary</t>
  </si>
  <si>
    <t>Average Salary</t>
  </si>
  <si>
    <t>AVERAGE</t>
  </si>
  <si>
    <t>disvisor</t>
  </si>
  <si>
    <t>Lenna</t>
  </si>
  <si>
    <t>Average Salary of (M)</t>
  </si>
  <si>
    <t>AVERAGEIF</t>
  </si>
  <si>
    <t>reminder</t>
  </si>
  <si>
    <t>Krish</t>
  </si>
  <si>
    <t>Average Salary of (F)</t>
  </si>
  <si>
    <t>Perry</t>
  </si>
  <si>
    <t>No. of Employees</t>
  </si>
  <si>
    <t>COUNTA</t>
  </si>
  <si>
    <t>Bindu</t>
  </si>
  <si>
    <t>No of Employees - M</t>
  </si>
  <si>
    <t>COUNTIF</t>
  </si>
  <si>
    <t>Ayesha</t>
  </si>
  <si>
    <t>No of Employees - F</t>
  </si>
  <si>
    <t>Bob</t>
  </si>
  <si>
    <t>SHORTCUT KEYS</t>
  </si>
  <si>
    <t>CNTL + R</t>
  </si>
  <si>
    <t>CNTL + D</t>
  </si>
  <si>
    <t>Percentage</t>
  </si>
  <si>
    <t>Position</t>
  </si>
  <si>
    <t>Result</t>
  </si>
  <si>
    <t>EMP</t>
  </si>
  <si>
    <t>DAYS</t>
  </si>
  <si>
    <t>RATING(../10)</t>
  </si>
  <si>
    <t>AND</t>
  </si>
  <si>
    <t>DAYS&gt;=130</t>
  </si>
  <si>
    <t>RATING&gt;=5</t>
  </si>
  <si>
    <t>OR</t>
  </si>
  <si>
    <t>PROMOTION(AND)</t>
  </si>
  <si>
    <t>PROMOTION(OR)</t>
  </si>
  <si>
    <t>Sr No.</t>
  </si>
  <si>
    <t>Name of Student</t>
  </si>
  <si>
    <t>Sub1</t>
  </si>
  <si>
    <t>Sub2</t>
  </si>
  <si>
    <t>Sub3</t>
  </si>
  <si>
    <t>%Age</t>
  </si>
  <si>
    <t>Only Grade</t>
  </si>
  <si>
    <t>Grade with Result Condition</t>
  </si>
  <si>
    <t>A</t>
  </si>
  <si>
    <t>B</t>
  </si>
  <si>
    <t>C</t>
  </si>
  <si>
    <t>Pass</t>
  </si>
  <si>
    <t>A++</t>
  </si>
  <si>
    <t>Fail</t>
  </si>
  <si>
    <t>A+</t>
  </si>
  <si>
    <t>NESTED IF</t>
  </si>
  <si>
    <t>Order_ID</t>
  </si>
  <si>
    <t>Order_Date</t>
  </si>
  <si>
    <t>Customer_Name</t>
  </si>
  <si>
    <t>City</t>
  </si>
  <si>
    <t>Product_Category</t>
  </si>
  <si>
    <t>Product_Name</t>
  </si>
  <si>
    <t>Sales_Rep</t>
  </si>
  <si>
    <t>Units_Sold</t>
  </si>
  <si>
    <t>Unit_Price</t>
  </si>
  <si>
    <t>Total_Sales</t>
  </si>
  <si>
    <t>Payment_Method</t>
  </si>
  <si>
    <t>Discount_%</t>
  </si>
  <si>
    <t>Profit</t>
  </si>
  <si>
    <t>2025-01-01</t>
  </si>
  <si>
    <t>Neha Patil</t>
  </si>
  <si>
    <t>Hyderabad</t>
  </si>
  <si>
    <t>Electronics</t>
  </si>
  <si>
    <t>Headphones</t>
  </si>
  <si>
    <t>Sneha</t>
  </si>
  <si>
    <t>Credit Card</t>
  </si>
  <si>
    <t>Amit Shah</t>
  </si>
  <si>
    <t>Delhi</t>
  </si>
  <si>
    <t>Ajay</t>
  </si>
  <si>
    <t>Cash</t>
  </si>
  <si>
    <t>Karan Verma</t>
  </si>
  <si>
    <t>Pune</t>
  </si>
  <si>
    <t>Furniture</t>
  </si>
  <si>
    <t>Sofa</t>
  </si>
  <si>
    <t>Debit Card</t>
  </si>
  <si>
    <t>2025-01-02</t>
  </si>
  <si>
    <t>Priya Sharma</t>
  </si>
  <si>
    <t>Clothing</t>
  </si>
  <si>
    <t>T-Shirt</t>
  </si>
  <si>
    <t>Mumbai</t>
  </si>
  <si>
    <t>West</t>
  </si>
  <si>
    <t>Pooja</t>
  </si>
  <si>
    <t>2025-01-03</t>
  </si>
  <si>
    <t>Chair</t>
  </si>
  <si>
    <t>Ajay Patil</t>
  </si>
  <si>
    <t>2025-01-04</t>
  </si>
  <si>
    <t>Rohit Mehta</t>
  </si>
  <si>
    <t>UPI</t>
  </si>
  <si>
    <t>Jeans</t>
  </si>
  <si>
    <t>Jacket</t>
  </si>
  <si>
    <t>2025-01-05</t>
  </si>
  <si>
    <t>Laptop</t>
  </si>
  <si>
    <t>Bangalore</t>
  </si>
  <si>
    <t>Mobile</t>
  </si>
  <si>
    <t>2025-01-06</t>
  </si>
  <si>
    <t>Table</t>
  </si>
  <si>
    <t>2025-01-07</t>
  </si>
  <si>
    <t>2025-01-08</t>
  </si>
  <si>
    <t>2025-01-09</t>
  </si>
  <si>
    <t>2025-01-10</t>
  </si>
  <si>
    <t>2025-01-11</t>
  </si>
  <si>
    <t>2025-01-12</t>
  </si>
  <si>
    <t>2025-01-13</t>
  </si>
  <si>
    <t>2025-01-14</t>
  </si>
  <si>
    <t>2025-01-15</t>
  </si>
  <si>
    <t>2025-01-16</t>
  </si>
  <si>
    <t>2025-01-17</t>
  </si>
  <si>
    <t>2025-01-18</t>
  </si>
  <si>
    <t>2025-01-19</t>
  </si>
  <si>
    <t>2025-01-20</t>
  </si>
  <si>
    <t>2025-01-21</t>
  </si>
  <si>
    <t>2025-01-22</t>
  </si>
  <si>
    <t>2025-01-23</t>
  </si>
  <si>
    <t>2025-01-24</t>
  </si>
  <si>
    <t>2025-01-25</t>
  </si>
  <si>
    <t>2025-01-26</t>
  </si>
  <si>
    <t>2025-01-27</t>
  </si>
  <si>
    <t>2025-01-28</t>
  </si>
  <si>
    <t>2025-01-29</t>
  </si>
  <si>
    <t>2025-01-30</t>
  </si>
  <si>
    <t>2025-01-31</t>
  </si>
  <si>
    <t>2025-02-01</t>
  </si>
  <si>
    <t>2025-02-02</t>
  </si>
  <si>
    <t>2025-02-03</t>
  </si>
  <si>
    <t>2025-02-04</t>
  </si>
  <si>
    <t>2025-02-05</t>
  </si>
  <si>
    <t>2025-02-06</t>
  </si>
  <si>
    <t>2025-02-07</t>
  </si>
  <si>
    <t>2025-02-08</t>
  </si>
  <si>
    <t>2025-02-09</t>
  </si>
  <si>
    <t>2025-02-10</t>
  </si>
  <si>
    <t>2025-02-11</t>
  </si>
  <si>
    <t>2025-02-12</t>
  </si>
  <si>
    <t>2025-02-13</t>
  </si>
  <si>
    <t>2025-02-14</t>
  </si>
  <si>
    <t>2025-02-15</t>
  </si>
  <si>
    <t>2025-02-16</t>
  </si>
  <si>
    <t>2025-02-17</t>
  </si>
  <si>
    <t>2025-02-18</t>
  </si>
  <si>
    <t>2025-02-19</t>
  </si>
  <si>
    <t>2025-02-20</t>
  </si>
  <si>
    <t>2025-02-21</t>
  </si>
  <si>
    <t>2025-02-22</t>
  </si>
  <si>
    <t>2025-02-23</t>
  </si>
  <si>
    <t>2025-02-24</t>
  </si>
  <si>
    <t>2025-02-25</t>
  </si>
  <si>
    <t>2025-02-26</t>
  </si>
  <si>
    <t>2025-02-27</t>
  </si>
  <si>
    <t>2025-02-28</t>
  </si>
  <si>
    <t>2025-03-01</t>
  </si>
  <si>
    <t>2025-03-02</t>
  </si>
  <si>
    <t>2025-03-03</t>
  </si>
  <si>
    <t>2025-03-04</t>
  </si>
  <si>
    <t>2025-03-05</t>
  </si>
  <si>
    <t>2025-03-06</t>
  </si>
  <si>
    <t>2025-03-07</t>
  </si>
  <si>
    <t>2025-03-08</t>
  </si>
  <si>
    <t>2025-03-09</t>
  </si>
  <si>
    <t>2025-03-10</t>
  </si>
  <si>
    <t>2025-03-11</t>
  </si>
  <si>
    <t>2025-03-12</t>
  </si>
  <si>
    <t>2025-03-13</t>
  </si>
  <si>
    <t>2025-03-14</t>
  </si>
  <si>
    <t>2025-03-15</t>
  </si>
  <si>
    <t>2025-03-16</t>
  </si>
  <si>
    <t>2025-03-17</t>
  </si>
  <si>
    <t>2025-03-18</t>
  </si>
  <si>
    <t>2025-03-19</t>
  </si>
  <si>
    <t>2025-03-20</t>
  </si>
  <si>
    <t>2025-03-21</t>
  </si>
  <si>
    <t>2025-03-22</t>
  </si>
  <si>
    <t>2025-03-23</t>
  </si>
  <si>
    <t>2025-03-24</t>
  </si>
  <si>
    <t>2025-03-25</t>
  </si>
  <si>
    <t>2025-03-26</t>
  </si>
  <si>
    <t>2025-03-27</t>
  </si>
  <si>
    <t>2025-03-28</t>
  </si>
  <si>
    <t>2025-03-29</t>
  </si>
  <si>
    <t>2025-03-30</t>
  </si>
  <si>
    <t>2025-03-31</t>
  </si>
  <si>
    <t>2025-04-01</t>
  </si>
  <si>
    <t>2025-04-02</t>
  </si>
  <si>
    <t>2025-04-03</t>
  </si>
  <si>
    <t>2025-04-04</t>
  </si>
  <si>
    <t>2025-04-05</t>
  </si>
  <si>
    <t>2025-04-06</t>
  </si>
  <si>
    <t>2025-04-07</t>
  </si>
  <si>
    <t>2025-04-08</t>
  </si>
  <si>
    <t>2025-04-09</t>
  </si>
  <si>
    <t>2025-04-10</t>
  </si>
  <si>
    <t>2025-04-11</t>
  </si>
  <si>
    <t>2025-04-12</t>
  </si>
  <si>
    <t>2025-04-13</t>
  </si>
  <si>
    <t>2025-04-14</t>
  </si>
  <si>
    <t>2025-04-15</t>
  </si>
  <si>
    <t>2025-04-16</t>
  </si>
  <si>
    <t>2025-04-17</t>
  </si>
  <si>
    <t>2025-04-18</t>
  </si>
  <si>
    <t>2025-04-19</t>
  </si>
  <si>
    <t>2025-04-20</t>
  </si>
  <si>
    <t>2025-04-21</t>
  </si>
  <si>
    <t>2025-04-22</t>
  </si>
  <si>
    <t>2025-04-23</t>
  </si>
  <si>
    <t>2025-04-24</t>
  </si>
  <si>
    <t>2025-04-25</t>
  </si>
  <si>
    <t>2025-04-26</t>
  </si>
  <si>
    <t>2025-04-27</t>
  </si>
  <si>
    <t>2025-04-28</t>
  </si>
  <si>
    <t>2025-04-29</t>
  </si>
  <si>
    <t>2025-04-30</t>
  </si>
  <si>
    <t>2025-05-01</t>
  </si>
  <si>
    <t>2025-05-02</t>
  </si>
  <si>
    <t>2025-05-03</t>
  </si>
  <si>
    <t>2025-05-04</t>
  </si>
  <si>
    <t>2025-05-05</t>
  </si>
  <si>
    <t>2025-05-06</t>
  </si>
  <si>
    <t>2025-05-07</t>
  </si>
  <si>
    <t>2025-05-08</t>
  </si>
  <si>
    <t>2025-05-09</t>
  </si>
  <si>
    <t>2025-05-10</t>
  </si>
  <si>
    <t>2025-05-11</t>
  </si>
  <si>
    <t>2025-05-12</t>
  </si>
  <si>
    <t>2025-05-13</t>
  </si>
  <si>
    <t>2025-05-14</t>
  </si>
  <si>
    <t>2025-05-15</t>
  </si>
  <si>
    <t>2025-05-16</t>
  </si>
  <si>
    <t>2025-05-17</t>
  </si>
  <si>
    <t>2025-05-18</t>
  </si>
  <si>
    <t>2025-05-19</t>
  </si>
  <si>
    <t>2025-05-20</t>
  </si>
  <si>
    <t>2025-05-21</t>
  </si>
  <si>
    <t>2025-05-22</t>
  </si>
  <si>
    <t>2025-05-23</t>
  </si>
  <si>
    <t>2025-05-24</t>
  </si>
  <si>
    <t>2025-05-25</t>
  </si>
  <si>
    <t>2025-05-26</t>
  </si>
  <si>
    <t>2025-05-27</t>
  </si>
  <si>
    <t>2025-05-28</t>
  </si>
  <si>
    <t>2025-05-29</t>
  </si>
  <si>
    <t>2025-05-30</t>
  </si>
  <si>
    <t>2025-05-31</t>
  </si>
  <si>
    <t>2025-06-01</t>
  </si>
  <si>
    <t>2025-06-02</t>
  </si>
  <si>
    <t>2025-06-03</t>
  </si>
  <si>
    <t>2025-06-04</t>
  </si>
  <si>
    <t>2025-06-05</t>
  </si>
  <si>
    <t>2025-06-06</t>
  </si>
  <si>
    <t>2025-06-07</t>
  </si>
  <si>
    <t>2025-06-08</t>
  </si>
  <si>
    <t>2025-06-09</t>
  </si>
  <si>
    <t>2025-06-10</t>
  </si>
  <si>
    <t>2025-06-11</t>
  </si>
  <si>
    <t>2025-06-12</t>
  </si>
  <si>
    <t>2025-06-13</t>
  </si>
  <si>
    <t>2025-06-14</t>
  </si>
  <si>
    <t>2025-06-15</t>
  </si>
  <si>
    <t>2025-06-16</t>
  </si>
  <si>
    <t>2025-06-17</t>
  </si>
  <si>
    <t>2025-06-18</t>
  </si>
  <si>
    <t>2025-06-19</t>
  </si>
  <si>
    <t>2025-06-20</t>
  </si>
  <si>
    <t>2025-06-21</t>
  </si>
  <si>
    <t>2025-06-22</t>
  </si>
  <si>
    <t>2025-06-23</t>
  </si>
  <si>
    <t>2025-06-24</t>
  </si>
  <si>
    <t>2025-06-25</t>
  </si>
  <si>
    <t>2025-06-26</t>
  </si>
  <si>
    <t>2025-06-27</t>
  </si>
  <si>
    <t>2025-06-28</t>
  </si>
  <si>
    <t>2025-06-29</t>
  </si>
  <si>
    <t>2025-06-30</t>
  </si>
  <si>
    <t>2025-07-01</t>
  </si>
  <si>
    <t>2025-07-02</t>
  </si>
  <si>
    <t>2025-07-03</t>
  </si>
  <si>
    <t>2025-07-04</t>
  </si>
  <si>
    <t>2025-07-05</t>
  </si>
  <si>
    <t>2025-07-06</t>
  </si>
  <si>
    <t>2025-07-07</t>
  </si>
  <si>
    <t>2025-07-08</t>
  </si>
  <si>
    <t>2025-07-09</t>
  </si>
  <si>
    <t>2025-07-10</t>
  </si>
  <si>
    <t>2025-07-11</t>
  </si>
  <si>
    <t>2025-07-12</t>
  </si>
  <si>
    <t>2025-07-13</t>
  </si>
  <si>
    <t>2025-07-14</t>
  </si>
  <si>
    <t>2025-07-15</t>
  </si>
  <si>
    <t>2025-07-16</t>
  </si>
  <si>
    <t>2025-07-17</t>
  </si>
  <si>
    <t>2025-07-18</t>
  </si>
  <si>
    <t>2025-07-19</t>
  </si>
  <si>
    <t>2025-07-20</t>
  </si>
  <si>
    <t>2025-07-21</t>
  </si>
  <si>
    <t>2025-07-22</t>
  </si>
  <si>
    <t>2025-07-23</t>
  </si>
  <si>
    <t>2025-07-24</t>
  </si>
  <si>
    <t>2025-07-25</t>
  </si>
  <si>
    <t>2025-07-26</t>
  </si>
  <si>
    <t>2025-07-27</t>
  </si>
  <si>
    <t>2025-07-28</t>
  </si>
  <si>
    <t>2025-07-29</t>
  </si>
  <si>
    <t>2025-07-30</t>
  </si>
  <si>
    <t>2025-07-31</t>
  </si>
  <si>
    <t>2025-08-01</t>
  </si>
  <si>
    <t>2025-08-02</t>
  </si>
  <si>
    <t>2025-08-03</t>
  </si>
  <si>
    <t>2025-08-04</t>
  </si>
  <si>
    <t>2025-08-05</t>
  </si>
  <si>
    <t>2025-08-06</t>
  </si>
  <si>
    <t>2025-08-07</t>
  </si>
  <si>
    <t>2025-08-08</t>
  </si>
  <si>
    <t>2025-08-09</t>
  </si>
  <si>
    <t>2025-08-10</t>
  </si>
  <si>
    <t>2025-08-11</t>
  </si>
  <si>
    <t>2025-08-12</t>
  </si>
  <si>
    <t>2025-08-13</t>
  </si>
  <si>
    <t>2025-08-14</t>
  </si>
  <si>
    <t>2025-08-15</t>
  </si>
  <si>
    <t>2025-08-16</t>
  </si>
  <si>
    <t>2025-08-17</t>
  </si>
  <si>
    <t>2025-08-18</t>
  </si>
  <si>
    <t>2025-08-19</t>
  </si>
  <si>
    <t>2025-08-20</t>
  </si>
  <si>
    <t>2025-08-21</t>
  </si>
  <si>
    <t>2025-08-22</t>
  </si>
  <si>
    <t>2025-08-23</t>
  </si>
  <si>
    <t>2025-08-24</t>
  </si>
  <si>
    <t>2025-08-25</t>
  </si>
  <si>
    <t>2025-08-26</t>
  </si>
  <si>
    <t>2025-08-27</t>
  </si>
  <si>
    <t>2025-08-28</t>
  </si>
  <si>
    <t>2025-08-29</t>
  </si>
  <si>
    <t>2025-08-30</t>
  </si>
  <si>
    <t>2025-08-31</t>
  </si>
  <si>
    <t>2025-09-01</t>
  </si>
  <si>
    <t>2025-09-02</t>
  </si>
  <si>
    <t>2025-09-03</t>
  </si>
  <si>
    <t>2025-09-04</t>
  </si>
  <si>
    <t>2025-09-05</t>
  </si>
  <si>
    <t>2025-09-06</t>
  </si>
  <si>
    <t>2025-09-07</t>
  </si>
  <si>
    <t>2025-09-08</t>
  </si>
  <si>
    <t>2025-09-09</t>
  </si>
  <si>
    <t>2025-09-10</t>
  </si>
  <si>
    <t>2025-09-11</t>
  </si>
  <si>
    <t>2025-09-12</t>
  </si>
  <si>
    <t>2025-09-13</t>
  </si>
  <si>
    <t>2025-09-14</t>
  </si>
  <si>
    <t>2025-09-15</t>
  </si>
  <si>
    <t>2025-09-16</t>
  </si>
  <si>
    <t>2025-09-17</t>
  </si>
  <si>
    <t>2025-09-18</t>
  </si>
  <si>
    <t>2025-09-19</t>
  </si>
  <si>
    <t>2025-09-20</t>
  </si>
  <si>
    <t>2025-09-21</t>
  </si>
  <si>
    <t>2025-09-22</t>
  </si>
  <si>
    <t>2025-09-23</t>
  </si>
  <si>
    <t>2025-09-24</t>
  </si>
  <si>
    <t>2025-09-25</t>
  </si>
  <si>
    <t>2025-09-26</t>
  </si>
  <si>
    <t>2025-09-27</t>
  </si>
  <si>
    <t>2025-09-28</t>
  </si>
  <si>
    <t>2025-09-29</t>
  </si>
  <si>
    <t>2025-09-30</t>
  </si>
  <si>
    <t>2025-10-01</t>
  </si>
  <si>
    <t>2025-10-02</t>
  </si>
  <si>
    <t>2025-10-03</t>
  </si>
  <si>
    <t>2025-10-04</t>
  </si>
  <si>
    <t>2025-10-05</t>
  </si>
  <si>
    <t>2025-10-06</t>
  </si>
  <si>
    <t>2025-10-07</t>
  </si>
  <si>
    <t>2025-10-08</t>
  </si>
  <si>
    <t>2025-10-09</t>
  </si>
  <si>
    <t>2025-10-10</t>
  </si>
  <si>
    <t>2025-10-11</t>
  </si>
  <si>
    <t>2025-10-12</t>
  </si>
  <si>
    <t>2025-10-13</t>
  </si>
  <si>
    <t>2025-10-14</t>
  </si>
  <si>
    <t>2025-10-15</t>
  </si>
  <si>
    <t>2025-10-16</t>
  </si>
  <si>
    <t>2025-10-17</t>
  </si>
  <si>
    <t>2025-10-18</t>
  </si>
  <si>
    <t>2025-10-19</t>
  </si>
  <si>
    <t>2025-10-20</t>
  </si>
  <si>
    <t>2025-10-21</t>
  </si>
  <si>
    <t>2025-10-22</t>
  </si>
  <si>
    <t>2025-10-23</t>
  </si>
  <si>
    <t>2025-10-24</t>
  </si>
  <si>
    <t>2025-10-25</t>
  </si>
  <si>
    <t>2025-10-26</t>
  </si>
  <si>
    <t>2025-10-27</t>
  </si>
  <si>
    <t>2025-10-28</t>
  </si>
  <si>
    <t>2025-10-29</t>
  </si>
  <si>
    <t>2025-10-30</t>
  </si>
  <si>
    <t>2025-10-31</t>
  </si>
  <si>
    <t>2025-11-01</t>
  </si>
  <si>
    <t>2025-11-02</t>
  </si>
  <si>
    <t>2025-11-03</t>
  </si>
  <si>
    <t>2025-11-04</t>
  </si>
  <si>
    <t>2025-11-05</t>
  </si>
  <si>
    <t>2025-11-06</t>
  </si>
  <si>
    <t>2025-11-07</t>
  </si>
  <si>
    <t>2025-11-08</t>
  </si>
  <si>
    <t>2025-11-09</t>
  </si>
  <si>
    <t>2025-11-10</t>
  </si>
  <si>
    <t>2025-11-11</t>
  </si>
  <si>
    <t>2025-11-12</t>
  </si>
  <si>
    <t>2025-11-13</t>
  </si>
  <si>
    <t>2025-11-14</t>
  </si>
  <si>
    <t>2025-11-15</t>
  </si>
  <si>
    <t>2025-11-16</t>
  </si>
  <si>
    <t>2025-11-17</t>
  </si>
  <si>
    <t>2025-11-18</t>
  </si>
  <si>
    <t>2025-11-19</t>
  </si>
  <si>
    <t>2025-11-20</t>
  </si>
  <si>
    <t>2025-11-21</t>
  </si>
  <si>
    <t>2025-11-22</t>
  </si>
  <si>
    <t>2025-11-23</t>
  </si>
  <si>
    <t>2025-11-24</t>
  </si>
  <si>
    <t>2025-11-25</t>
  </si>
  <si>
    <t>2025-11-26</t>
  </si>
  <si>
    <t>2025-11-27</t>
  </si>
  <si>
    <t>2025-11-28</t>
  </si>
  <si>
    <t>2025-11-29</t>
  </si>
  <si>
    <t>2025-11-30</t>
  </si>
  <si>
    <t>2025-12-01</t>
  </si>
  <si>
    <t>2025-12-02</t>
  </si>
  <si>
    <t>2025-12-03</t>
  </si>
  <si>
    <t>2025-12-04</t>
  </si>
  <si>
    <t>2025-12-05</t>
  </si>
  <si>
    <t>2025-12-06</t>
  </si>
  <si>
    <t>2025-12-07</t>
  </si>
  <si>
    <t>2025-12-08</t>
  </si>
  <si>
    <t>2025-12-09</t>
  </si>
  <si>
    <t>2025-12-10</t>
  </si>
  <si>
    <t>2025-12-11</t>
  </si>
  <si>
    <t>2025-12-12</t>
  </si>
  <si>
    <t>2025-12-13</t>
  </si>
  <si>
    <t>2025-12-14</t>
  </si>
  <si>
    <t>2025-12-15</t>
  </si>
  <si>
    <t>2025-12-16</t>
  </si>
  <si>
    <t>2025-12-17</t>
  </si>
  <si>
    <t>2025-12-18</t>
  </si>
  <si>
    <t>2025-12-19</t>
  </si>
  <si>
    <t>2025-12-20</t>
  </si>
  <si>
    <t>2025-12-21</t>
  </si>
  <si>
    <t>2025-12-22</t>
  </si>
  <si>
    <t>2025-12-23</t>
  </si>
  <si>
    <t>2025-12-24</t>
  </si>
  <si>
    <t>2025-12-25</t>
  </si>
  <si>
    <t>2025-12-26</t>
  </si>
  <si>
    <t>2025-12-27</t>
  </si>
  <si>
    <t>2025-12-28</t>
  </si>
  <si>
    <t>2025-12-29</t>
  </si>
  <si>
    <t>2025-12-30</t>
  </si>
  <si>
    <t>2025-12-31</t>
  </si>
  <si>
    <t xml:space="preserve">Amit </t>
  </si>
  <si>
    <t>Rajesh</t>
  </si>
  <si>
    <t xml:space="preserve">Suresh </t>
  </si>
  <si>
    <t>Deepak</t>
  </si>
  <si>
    <t>Quantity</t>
  </si>
  <si>
    <t>Discount(%)</t>
  </si>
  <si>
    <t>Condition</t>
  </si>
  <si>
    <t>Greater then equal to 10</t>
  </si>
  <si>
    <t>Greater then equal to 5</t>
  </si>
  <si>
    <t>Less then 5</t>
  </si>
  <si>
    <t>IF, NESTED IF, AND, OR, IFS</t>
  </si>
  <si>
    <t xml:space="preserve">Select Range -&gt; Conditional Formatting -&gt; Highlight Cell rule -&gt;  Less then -&gt; Click Color -&gt; Custom -&gt; Fill - Red </t>
  </si>
  <si>
    <t>CNTL + +</t>
  </si>
  <si>
    <t>CNTL + -</t>
  </si>
  <si>
    <t xml:space="preserve"> </t>
  </si>
  <si>
    <t>CAT</t>
  </si>
  <si>
    <t>Customer cancle the subscription</t>
  </si>
  <si>
    <t>Churn rate</t>
  </si>
  <si>
    <t>Customer Acquisition Cost</t>
  </si>
  <si>
    <t>Employee_ID</t>
  </si>
  <si>
    <t>First_Name</t>
  </si>
  <si>
    <t>Last_Name</t>
  </si>
  <si>
    <t>Department</t>
  </si>
  <si>
    <t>Designation</t>
  </si>
  <si>
    <t>Base_Salary</t>
  </si>
  <si>
    <t>HRA</t>
  </si>
  <si>
    <t>DA</t>
  </si>
  <si>
    <t>Bonus</t>
  </si>
  <si>
    <t>Gross_Salary</t>
  </si>
  <si>
    <t>PF</t>
  </si>
  <si>
    <t>Tax</t>
  </si>
  <si>
    <t>Net_Salary</t>
  </si>
  <si>
    <t>Singh</t>
  </si>
  <si>
    <t>Male</t>
  </si>
  <si>
    <t>Finance</t>
  </si>
  <si>
    <t>Senior Executive</t>
  </si>
  <si>
    <t>Swati</t>
  </si>
  <si>
    <t>Mishra</t>
  </si>
  <si>
    <t>Female</t>
  </si>
  <si>
    <t>Operations</t>
  </si>
  <si>
    <t>Manager</t>
  </si>
  <si>
    <t>Sunita</t>
  </si>
  <si>
    <t>Naidu</t>
  </si>
  <si>
    <t>HR</t>
  </si>
  <si>
    <t>Senior Manager</t>
  </si>
  <si>
    <t>Varun</t>
  </si>
  <si>
    <t>Joshi</t>
  </si>
  <si>
    <t>Analyst</t>
  </si>
  <si>
    <t>Vivek</t>
  </si>
  <si>
    <t>Kumar</t>
  </si>
  <si>
    <t>Arjun</t>
  </si>
  <si>
    <t>Kulkarni</t>
  </si>
  <si>
    <t>Marketing</t>
  </si>
  <si>
    <t>Lead</t>
  </si>
  <si>
    <t>Sharma</t>
  </si>
  <si>
    <t>Suresh</t>
  </si>
  <si>
    <t>Verma</t>
  </si>
  <si>
    <t>Anjali</t>
  </si>
  <si>
    <t>Patel</t>
  </si>
  <si>
    <t>Rashmi</t>
  </si>
  <si>
    <t>Karan</t>
  </si>
  <si>
    <t>Mehta</t>
  </si>
  <si>
    <t>Ramesh</t>
  </si>
  <si>
    <t>Das</t>
  </si>
  <si>
    <t>Pillai</t>
  </si>
  <si>
    <t>Shreya</t>
  </si>
  <si>
    <t>IT</t>
  </si>
  <si>
    <t>Aarti</t>
  </si>
  <si>
    <t>Nisha</t>
  </si>
  <si>
    <t>Bose</t>
  </si>
  <si>
    <t>Manish</t>
  </si>
  <si>
    <t>Gupta</t>
  </si>
  <si>
    <t>Rekha</t>
  </si>
  <si>
    <t>Iyer</t>
  </si>
  <si>
    <t>Sanjay</t>
  </si>
  <si>
    <t>Yadav</t>
  </si>
  <si>
    <t>Rohit</t>
  </si>
  <si>
    <t>Priya</t>
  </si>
  <si>
    <t>Chatterjee</t>
  </si>
  <si>
    <t>Isha</t>
  </si>
  <si>
    <t>Nair</t>
  </si>
  <si>
    <t>Tanuja</t>
  </si>
  <si>
    <t>Desai</t>
  </si>
  <si>
    <t>Kavita</t>
  </si>
  <si>
    <t>Yash</t>
  </si>
  <si>
    <t>Harish</t>
  </si>
  <si>
    <t>Reddy</t>
  </si>
  <si>
    <t>Gaurav</t>
  </si>
  <si>
    <t>Komal</t>
  </si>
  <si>
    <t>Meena</t>
  </si>
  <si>
    <t>Nikhil</t>
  </si>
  <si>
    <t>Vikas</t>
  </si>
  <si>
    <t>Divya</t>
  </si>
  <si>
    <t>Akash</t>
  </si>
  <si>
    <t>Anil</t>
  </si>
  <si>
    <t>Payal</t>
  </si>
  <si>
    <t>Prakash</t>
  </si>
  <si>
    <t>ALT + A + T</t>
  </si>
  <si>
    <t>Filter</t>
  </si>
  <si>
    <t>Sort</t>
  </si>
  <si>
    <t>Text Filter</t>
  </si>
  <si>
    <t>Number Filter</t>
  </si>
  <si>
    <t>Swati Mishra</t>
  </si>
  <si>
    <t>Sunita Naidu</t>
  </si>
  <si>
    <t>Varun Joshi</t>
  </si>
  <si>
    <t>Vivek Kumar</t>
  </si>
  <si>
    <t>Arjun Kulkarni</t>
  </si>
  <si>
    <t>Arjun Sharma</t>
  </si>
  <si>
    <t>Suresh Verma</t>
  </si>
  <si>
    <t>Anjali Patel</t>
  </si>
  <si>
    <t>Rahul Mishra</t>
  </si>
  <si>
    <t>Rashmi Mishra</t>
  </si>
  <si>
    <t>Karan Mehta</t>
  </si>
  <si>
    <t>Sneha Singh</t>
  </si>
  <si>
    <t>Ramesh Kulkarni</t>
  </si>
  <si>
    <t>Sneha Das</t>
  </si>
  <si>
    <t>Ramesh Pillai</t>
  </si>
  <si>
    <t>Shreya Patel</t>
  </si>
  <si>
    <t>Aarti Sharma</t>
  </si>
  <si>
    <t>Nisha Bose</t>
  </si>
  <si>
    <t>Manish Gupta</t>
  </si>
  <si>
    <t>Amit Pillai</t>
  </si>
  <si>
    <t>Rekha Iyer</t>
  </si>
  <si>
    <t>Pooja Pillai</t>
  </si>
  <si>
    <t>Rahul Pillai</t>
  </si>
  <si>
    <t>Sanjay Patel</t>
  </si>
  <si>
    <t>Swati Bose</t>
  </si>
  <si>
    <t>Ramesh Gupta</t>
  </si>
  <si>
    <t>Ramesh Yadav</t>
  </si>
  <si>
    <t>Varun Iyer</t>
  </si>
  <si>
    <t>Rohit Singh</t>
  </si>
  <si>
    <t>Ramesh Patel</t>
  </si>
  <si>
    <t>Priya Chatterjee</t>
  </si>
  <si>
    <t>Deepak Iyer</t>
  </si>
  <si>
    <t>Isha Chatterjee</t>
  </si>
  <si>
    <t>Rashmi Naidu</t>
  </si>
  <si>
    <t>Amit Bose</t>
  </si>
  <si>
    <t>Suresh Nair</t>
  </si>
  <si>
    <t>Tanuja Desai</t>
  </si>
  <si>
    <t>Kavita Desai</t>
  </si>
  <si>
    <t>Yash Sharma</t>
  </si>
  <si>
    <t>Arjun Nair</t>
  </si>
  <si>
    <t>Harish Reddy</t>
  </si>
  <si>
    <t>Anjali Singh</t>
  </si>
  <si>
    <t>Priya Singh</t>
  </si>
  <si>
    <t>Gaurav Verma</t>
  </si>
  <si>
    <t>Shreya Desai</t>
  </si>
  <si>
    <t>Harish Verma</t>
  </si>
  <si>
    <t>Shreya Joshi</t>
  </si>
  <si>
    <t>Ramesh Singh</t>
  </si>
  <si>
    <t>Tanuja Bose</t>
  </si>
  <si>
    <t>Komal Kumar</t>
  </si>
  <si>
    <t>Gaurav Desai</t>
  </si>
  <si>
    <t>Meena Mehta</t>
  </si>
  <si>
    <t>Nikhil Verma</t>
  </si>
  <si>
    <t>Aarti Nair</t>
  </si>
  <si>
    <t>Kavita Sharma</t>
  </si>
  <si>
    <t>Rekha Verma</t>
  </si>
  <si>
    <t>Sunita Verma</t>
  </si>
  <si>
    <t>Aarti Naidu</t>
  </si>
  <si>
    <t>Nikhil Mishra</t>
  </si>
  <si>
    <t>Aarti Patel</t>
  </si>
  <si>
    <t>Vivek Verma</t>
  </si>
  <si>
    <t>Pooja Chatterjee</t>
  </si>
  <si>
    <t>Swati Reddy</t>
  </si>
  <si>
    <t>Isha Nair</t>
  </si>
  <si>
    <t>Vikas Joshi</t>
  </si>
  <si>
    <t>Harish Das</t>
  </si>
  <si>
    <t>Isha Naidu</t>
  </si>
  <si>
    <t>Sanjay Mishra</t>
  </si>
  <si>
    <t>Sunita Kumar</t>
  </si>
  <si>
    <t>Pooja Mishra</t>
  </si>
  <si>
    <t>Divya Bose</t>
  </si>
  <si>
    <t>Deepak Gupta</t>
  </si>
  <si>
    <t>Rahul Verma</t>
  </si>
  <si>
    <t>Isha Sharma</t>
  </si>
  <si>
    <t>Karan Patel</t>
  </si>
  <si>
    <t>Rahul Iyer</t>
  </si>
  <si>
    <t>Ramesh Verma</t>
  </si>
  <si>
    <t>Vikas Nair</t>
  </si>
  <si>
    <t>Komal Sharma</t>
  </si>
  <si>
    <t>Akash Joshi</t>
  </si>
  <si>
    <t>Manish Desai</t>
  </si>
  <si>
    <t>Anil Kulkarni</t>
  </si>
  <si>
    <t>Gaurav Nair</t>
  </si>
  <si>
    <t>Payal Joshi</t>
  </si>
  <si>
    <t>Yash Reddy</t>
  </si>
  <si>
    <t>Pooja Nair</t>
  </si>
  <si>
    <t>Nisha Desai</t>
  </si>
  <si>
    <t>Nikhil Naidu</t>
  </si>
  <si>
    <t>Neha Chatterjee</t>
  </si>
  <si>
    <t>Isha Joshi</t>
  </si>
  <si>
    <t>Vivek Naidu</t>
  </si>
  <si>
    <t>Deepak Yadav</t>
  </si>
  <si>
    <t>Isha Singh</t>
  </si>
  <si>
    <t>Priya Joshi</t>
  </si>
  <si>
    <t>Payal Naidu</t>
  </si>
  <si>
    <t>Suresh Patel</t>
  </si>
  <si>
    <t>Prakash Iyer</t>
  </si>
  <si>
    <t>Payal Yadav</t>
  </si>
  <si>
    <t>Data Validation</t>
  </si>
  <si>
    <t>Contact Number</t>
  </si>
  <si>
    <t>Order ID</t>
  </si>
  <si>
    <t>Order Date</t>
  </si>
  <si>
    <t>Customer Name</t>
  </si>
  <si>
    <t>Country</t>
  </si>
  <si>
    <t>State</t>
  </si>
  <si>
    <t>KL-2018-5607031</t>
  </si>
  <si>
    <t>Lani Bowers</t>
  </si>
  <si>
    <t>Austria</t>
  </si>
  <si>
    <t>Vienna</t>
  </si>
  <si>
    <t>Central</t>
  </si>
  <si>
    <t>KL-2018-5607032</t>
  </si>
  <si>
    <t>Lana Adkins</t>
  </si>
  <si>
    <t>KL-2018-5607033</t>
  </si>
  <si>
    <t>Sopoline Noel</t>
  </si>
  <si>
    <t>KL-2018-5607034</t>
  </si>
  <si>
    <t>Abbot Horton</t>
  </si>
  <si>
    <t>Germany</t>
  </si>
  <si>
    <t>Lower Saxony</t>
  </si>
  <si>
    <t>Langen</t>
  </si>
  <si>
    <t>KL-2018-5607035</t>
  </si>
  <si>
    <t>Hedda Livingston</t>
  </si>
  <si>
    <t>KL-2018-5607036</t>
  </si>
  <si>
    <t>Henry Hodges</t>
  </si>
  <si>
    <t>KL-2018-5607037</t>
  </si>
  <si>
    <t>Aristotle Barrett</t>
  </si>
  <si>
    <t>KL-2018-5607038</t>
  </si>
  <si>
    <t>Wendy Neal</t>
  </si>
  <si>
    <t>KL-2018-5607039</t>
  </si>
  <si>
    <t>Raymond Mckenzie</t>
  </si>
  <si>
    <t>Denmark</t>
  </si>
  <si>
    <t>Hovedstaden</t>
  </si>
  <si>
    <t>Copenhagen</t>
  </si>
  <si>
    <t>KL-2018-5607040</t>
  </si>
  <si>
    <t>Zephr Hickman</t>
  </si>
  <si>
    <t>Spain</t>
  </si>
  <si>
    <t>Valenciana</t>
  </si>
  <si>
    <t>Gandia</t>
  </si>
  <si>
    <t>KL-2018-5607041</t>
  </si>
  <si>
    <t>Georgia Kane</t>
  </si>
  <si>
    <t>South Denmark</t>
  </si>
  <si>
    <t>Esbjerg</t>
  </si>
  <si>
    <t>KL-2018-5607042</t>
  </si>
  <si>
    <t>Stella Dejesus</t>
  </si>
  <si>
    <t>India</t>
  </si>
  <si>
    <t>Maharashtra</t>
  </si>
  <si>
    <t>KL-2018-5607043</t>
  </si>
  <si>
    <t>Dahlia Porter</t>
  </si>
  <si>
    <t>Bihar</t>
  </si>
  <si>
    <t>Patna</t>
  </si>
  <si>
    <t>KL-2018-5607044</t>
  </si>
  <si>
    <t>Ria Foster</t>
  </si>
  <si>
    <t>KL-2018-5607045</t>
  </si>
  <si>
    <t>Kiona Moore</t>
  </si>
  <si>
    <t>France</t>
  </si>
  <si>
    <t>Ile-de-France</t>
  </si>
  <si>
    <t>Villiers-sur-Marne</t>
  </si>
  <si>
    <t>KL-2018-5607046</t>
  </si>
  <si>
    <t>Guinevere Sullivan</t>
  </si>
  <si>
    <t>North Rhine-Westphalia</t>
  </si>
  <si>
    <t>Bielefeld</t>
  </si>
  <si>
    <t>KL-2018-5607047</t>
  </si>
  <si>
    <t>Ingrid Barnes</t>
  </si>
  <si>
    <t>Belgium</t>
  </si>
  <si>
    <t>Flemish Brabant</t>
  </si>
  <si>
    <t>Leuven</t>
  </si>
  <si>
    <t>KL-2018-5607048</t>
  </si>
  <si>
    <t>Quinlan Holcomb</t>
  </si>
  <si>
    <t>KL-2018-5607049</t>
  </si>
  <si>
    <t>Blair Mccullough</t>
  </si>
  <si>
    <t>KL-2018-5607050</t>
  </si>
  <si>
    <t>Diana Guthrie</t>
  </si>
  <si>
    <t>KL-2018-5607051</t>
  </si>
  <si>
    <t>Neville Ashley</t>
  </si>
  <si>
    <t>KL-2018-5607052</t>
  </si>
  <si>
    <t>KL-2018-5607053</t>
  </si>
  <si>
    <t>KL-2018-5607054</t>
  </si>
  <si>
    <t>KL-2018-5607055</t>
  </si>
  <si>
    <t>KL-2018-5607056</t>
  </si>
  <si>
    <t>KL-2018-5607057</t>
  </si>
  <si>
    <t>KL-2018-5607058</t>
  </si>
  <si>
    <t>KL-2018-5607059</t>
  </si>
  <si>
    <t>KL-2018-5607060</t>
  </si>
  <si>
    <t>KL-2018-5607061</t>
  </si>
  <si>
    <t>KL-2018-5607062</t>
  </si>
  <si>
    <t>KL-2018-5607063</t>
  </si>
  <si>
    <t>KL-2018-5607064</t>
  </si>
  <si>
    <t>KL-2018-5607065</t>
  </si>
  <si>
    <t>KL-2018-5607066</t>
  </si>
  <si>
    <t>KL-2018-5607067</t>
  </si>
  <si>
    <t>KL-2018-5607068</t>
  </si>
  <si>
    <t>KL-2018-5607069</t>
  </si>
  <si>
    <t>KL-2018-5607070</t>
  </si>
  <si>
    <t>KL-2018-5607071</t>
  </si>
  <si>
    <t>KL-2018-5607072</t>
  </si>
  <si>
    <t>KL-2018-5607073</t>
  </si>
  <si>
    <t>KL-2018-5607074</t>
  </si>
  <si>
    <t>KL-2018-5607075</t>
  </si>
  <si>
    <t>KL-2018-5607076</t>
  </si>
  <si>
    <t>KL-2018-5607077</t>
  </si>
  <si>
    <t>KL-2018-5607078</t>
  </si>
  <si>
    <t>KL-2018-5607079</t>
  </si>
  <si>
    <t>KL-2018-5607080</t>
  </si>
  <si>
    <t>KL-2018-5607081</t>
  </si>
  <si>
    <t>KL-2018-5607082</t>
  </si>
  <si>
    <t>KL-2018-5607083</t>
  </si>
  <si>
    <t>KL-2018-5607084</t>
  </si>
  <si>
    <t>KL-2018-5607085</t>
  </si>
  <si>
    <t>KL-2018-5607086</t>
  </si>
  <si>
    <t>KL-2018-5607087</t>
  </si>
  <si>
    <t>KL-2018-5607088</t>
  </si>
  <si>
    <t>KL-2018-5607089</t>
  </si>
  <si>
    <t>KL-2018-5607090</t>
  </si>
  <si>
    <t>KL-2018-5607091</t>
  </si>
  <si>
    <t>KL-2018-5607092</t>
  </si>
  <si>
    <t>KL-2018-5607093</t>
  </si>
  <si>
    <t>KL-2018-5607094</t>
  </si>
  <si>
    <t>KL-2018-5607095</t>
  </si>
  <si>
    <t>KL-2018-5607096</t>
  </si>
  <si>
    <t>KL-2018-5607097</t>
  </si>
  <si>
    <t>KL-2018-5607098</t>
  </si>
  <si>
    <t>KL-2018-5607099</t>
  </si>
  <si>
    <t>KL-2018-5607100</t>
  </si>
  <si>
    <t>KL-2018-5607101</t>
  </si>
  <si>
    <t>KL-2018-5607102</t>
  </si>
  <si>
    <t>KL-2018-5607103</t>
  </si>
  <si>
    <t>KL-2018-5607104</t>
  </si>
  <si>
    <t>KL-2018-5607105</t>
  </si>
  <si>
    <t>KL-2018-5607106</t>
  </si>
  <si>
    <t>KL-2018-5607107</t>
  </si>
  <si>
    <t>KL-2018-5607108</t>
  </si>
  <si>
    <t>KL-2018-5607109</t>
  </si>
  <si>
    <t>KL-2018-5607110</t>
  </si>
  <si>
    <t>KL-2018-5607111</t>
  </si>
  <si>
    <t>KL-2018-5607112</t>
  </si>
  <si>
    <t>KL-2018-5607113</t>
  </si>
  <si>
    <t>KL-2018-5607114</t>
  </si>
  <si>
    <t>KL-2018-5607115</t>
  </si>
  <si>
    <t>KL-2018-5607116</t>
  </si>
  <si>
    <t>KL-2018-5607117</t>
  </si>
  <si>
    <t>KL-2018-5607118</t>
  </si>
  <si>
    <t>KL-2018-5607119</t>
  </si>
  <si>
    <t>KL-2018-5607120</t>
  </si>
  <si>
    <t>KL-2018-5607121</t>
  </si>
  <si>
    <t>KL-2018-5607122</t>
  </si>
  <si>
    <t>KL-2018-5607123</t>
  </si>
  <si>
    <t>KL-2018-5607124</t>
  </si>
  <si>
    <t>KL-2018-5607125</t>
  </si>
  <si>
    <t>KL-2018-5607126</t>
  </si>
  <si>
    <t>KL-2018-5607127</t>
  </si>
  <si>
    <t>KL-2018-5607128</t>
  </si>
  <si>
    <t>KL-2018-5607129</t>
  </si>
  <si>
    <t>KL-2018-5607130</t>
  </si>
  <si>
    <t>KL-2018-5607131</t>
  </si>
  <si>
    <t>KL-2018-5607132</t>
  </si>
  <si>
    <t>KL-2018-5607133</t>
  </si>
  <si>
    <t>KL-2018-5607134</t>
  </si>
  <si>
    <t>KL-2018-5607135</t>
  </si>
  <si>
    <t>KL-2018-5607136</t>
  </si>
  <si>
    <t>KL-2018-5607137</t>
  </si>
  <si>
    <t>KL-2018-5607138</t>
  </si>
  <si>
    <t>KL-2018-5607139</t>
  </si>
  <si>
    <t>KL-2018-5607140</t>
  </si>
  <si>
    <t>KL-2018-5607141</t>
  </si>
  <si>
    <t>KL-2018-5607142</t>
  </si>
  <si>
    <t>KL-2018-5607143</t>
  </si>
  <si>
    <t>KL-2018-5607144</t>
  </si>
  <si>
    <t>KL-2018-5607145</t>
  </si>
  <si>
    <t>KL-2018-5607146</t>
  </si>
  <si>
    <t>KL-2018-5607147</t>
  </si>
  <si>
    <t>KL-2018-5607148</t>
  </si>
  <si>
    <t>KL-2018-5607149</t>
  </si>
  <si>
    <t>KL-2018-5607150</t>
  </si>
  <si>
    <t>KL-2018-5607151</t>
  </si>
  <si>
    <t>KL-2018-5607152</t>
  </si>
  <si>
    <t>KL-2018-5607153</t>
  </si>
  <si>
    <t>KL-2018-5607154</t>
  </si>
  <si>
    <t>KL-2018-5607155</t>
  </si>
  <si>
    <t>KL-2018-5607156</t>
  </si>
  <si>
    <t>KL-2018-5607157</t>
  </si>
  <si>
    <t>KL-2018-5607158</t>
  </si>
  <si>
    <t>KL-2018-5607159</t>
  </si>
  <si>
    <t>KL-2018-5607160</t>
  </si>
  <si>
    <t>KL-2018-5607161</t>
  </si>
  <si>
    <t>KL-2018-5607162</t>
  </si>
  <si>
    <t>KL-2018-5607163</t>
  </si>
  <si>
    <t>KL-2018-5607164</t>
  </si>
  <si>
    <t>KL-2018-5607165</t>
  </si>
  <si>
    <t>KL-2018-5607166</t>
  </si>
  <si>
    <t>KL-2018-5607167</t>
  </si>
  <si>
    <t>KL-2018-5607168</t>
  </si>
  <si>
    <t>KL-2018-5607169</t>
  </si>
  <si>
    <t>KL-2018-5607170</t>
  </si>
  <si>
    <t>KL-2018-5607171</t>
  </si>
  <si>
    <t>KL-2018-5607172</t>
  </si>
  <si>
    <t>KL-2018-5607173</t>
  </si>
  <si>
    <t>KL-2018-5607174</t>
  </si>
  <si>
    <t>KL-2018-5607175</t>
  </si>
  <si>
    <t>KL-2018-5607176</t>
  </si>
  <si>
    <t>KL-2018-5607177</t>
  </si>
  <si>
    <t>KL-2018-5607178</t>
  </si>
  <si>
    <t>KL-2018-5607179</t>
  </si>
  <si>
    <t>KL-2018-5607180</t>
  </si>
  <si>
    <t>KL-2018-5607181</t>
  </si>
  <si>
    <t>KL-2018-5607182</t>
  </si>
  <si>
    <t>KL-2018-5607183</t>
  </si>
  <si>
    <t>KL-2018-5607184</t>
  </si>
  <si>
    <t>KL-2018-5607185</t>
  </si>
  <si>
    <t>KL-2018-5607186</t>
  </si>
  <si>
    <t>KL-2018-5607187</t>
  </si>
  <si>
    <t>KL-2018-5607188</t>
  </si>
  <si>
    <t>KL-2018-5607189</t>
  </si>
  <si>
    <t>KL-2018-5607190</t>
  </si>
  <si>
    <t>KL-2018-5607191</t>
  </si>
  <si>
    <t>KL-2018-5607192</t>
  </si>
  <si>
    <t>KL-2018-5607193</t>
  </si>
  <si>
    <t>KL-2018-5607194</t>
  </si>
  <si>
    <t>KL-2018-5607195</t>
  </si>
  <si>
    <t>KL-2018-5607196</t>
  </si>
  <si>
    <t>KL-2018-5607197</t>
  </si>
  <si>
    <t>KL-2018-5607198</t>
  </si>
  <si>
    <t>KL-2018-5607199</t>
  </si>
  <si>
    <t>KL-2018-5607200</t>
  </si>
  <si>
    <t>KL-2018-5607201</t>
  </si>
  <si>
    <t>KL-2018-5607202</t>
  </si>
  <si>
    <t>KL-2018-5607203</t>
  </si>
  <si>
    <t>KL-2018-5607204</t>
  </si>
  <si>
    <t>KL-2018-5607205</t>
  </si>
  <si>
    <t>KL-2018-5607206</t>
  </si>
  <si>
    <t>KL-2018-5607207</t>
  </si>
  <si>
    <t>KL-2018-5607208</t>
  </si>
  <si>
    <t>KL-2018-5607209</t>
  </si>
  <si>
    <t>KL-2018-5607210</t>
  </si>
  <si>
    <t>KL-2018-5607211</t>
  </si>
  <si>
    <t>KL-2018-5607212</t>
  </si>
  <si>
    <t>KL-2018-5607213</t>
  </si>
  <si>
    <t>KL-2018-5607214</t>
  </si>
  <si>
    <t>KL-2018-5607215</t>
  </si>
  <si>
    <t>KL-2018-5607216</t>
  </si>
  <si>
    <t>KL-2018-5607217</t>
  </si>
  <si>
    <t>KL-2018-5607218</t>
  </si>
  <si>
    <t>KL-2018-5607219</t>
  </si>
  <si>
    <t>KL-2018-5607220</t>
  </si>
  <si>
    <t>KL-2018-5607221</t>
  </si>
  <si>
    <t>KL-2018-5607222</t>
  </si>
  <si>
    <t>KL-2018-5607223</t>
  </si>
  <si>
    <t>KL-2018-5607224</t>
  </si>
  <si>
    <t>KL-2018-5607225</t>
  </si>
  <si>
    <t>KL-2018-5607226</t>
  </si>
  <si>
    <t>KL-2018-5607227</t>
  </si>
  <si>
    <t>KL-2018-5607228</t>
  </si>
  <si>
    <t>KL-2018-5607229</t>
  </si>
  <si>
    <t>KL-2018-5607230</t>
  </si>
  <si>
    <t>KL-2018-5607231</t>
  </si>
  <si>
    <t>KL-2018-5607232</t>
  </si>
  <si>
    <t>KL-2018-5607233</t>
  </si>
  <si>
    <t>KL-2018-5607234</t>
  </si>
  <si>
    <t>KL-2018-5607235</t>
  </si>
  <si>
    <t>KL-2018-5607236</t>
  </si>
  <si>
    <t>KL-2018-5607237</t>
  </si>
  <si>
    <t>KL-2018-5607238</t>
  </si>
  <si>
    <t>KL-2018-5607239</t>
  </si>
  <si>
    <t>KL-2018-5607240</t>
  </si>
  <si>
    <t>KL-2018-5607241</t>
  </si>
  <si>
    <t>KL-2018-5607242</t>
  </si>
  <si>
    <t>KL-2018-5607243</t>
  </si>
  <si>
    <t>KL-2018-5607244</t>
  </si>
  <si>
    <t>KL-2018-5607245</t>
  </si>
  <si>
    <t>KL-2018-5607246</t>
  </si>
  <si>
    <t>KL-2018-5607247</t>
  </si>
  <si>
    <t>KL-2018-5607248</t>
  </si>
  <si>
    <t>KL-2018-5607249</t>
  </si>
  <si>
    <t>KL-2018-5607250</t>
  </si>
  <si>
    <t>KL-2018-5607251</t>
  </si>
  <si>
    <t>KL-2018-5607252</t>
  </si>
  <si>
    <t>KL-2018-5607253</t>
  </si>
  <si>
    <t>KL-2018-5607254</t>
  </si>
  <si>
    <t>KL-2018-5607255</t>
  </si>
  <si>
    <t>KL-2018-5607256</t>
  </si>
  <si>
    <t>KL-2018-5607257</t>
  </si>
  <si>
    <t>KL-2018-5607258</t>
  </si>
  <si>
    <t>KL-2018-5607259</t>
  </si>
  <si>
    <t>KL-2018-5607260</t>
  </si>
  <si>
    <t>KL-2018-5607261</t>
  </si>
  <si>
    <t>KL-2018-5607262</t>
  </si>
  <si>
    <t>KL-2018-5607263</t>
  </si>
  <si>
    <t>KL-2018-5607264</t>
  </si>
  <si>
    <t>KL-2018-5607265</t>
  </si>
  <si>
    <t>KL-2018-5607266</t>
  </si>
  <si>
    <t>KL-2018-5607267</t>
  </si>
  <si>
    <t>KL-2018-5607268</t>
  </si>
  <si>
    <t>KL-2018-5607269</t>
  </si>
  <si>
    <t>KL-2018-5607270</t>
  </si>
  <si>
    <t>KL-2018-5607271</t>
  </si>
  <si>
    <t>KL-2018-5607272</t>
  </si>
  <si>
    <t>KL-2018-5607273</t>
  </si>
  <si>
    <t>KL-2018-5607274</t>
  </si>
  <si>
    <t>KL-2018-5607275</t>
  </si>
  <si>
    <t>KL-2018-5607276</t>
  </si>
  <si>
    <t>KL-2018-5607277</t>
  </si>
  <si>
    <t>KL-2018-5607278</t>
  </si>
  <si>
    <t>KL-2018-5607279</t>
  </si>
  <si>
    <t>KL-2018-5607280</t>
  </si>
  <si>
    <t>KL-2018-5607281</t>
  </si>
  <si>
    <t>KL-2018-5607282</t>
  </si>
  <si>
    <t>KL-2018-5607283</t>
  </si>
  <si>
    <t>KL-2018-5607284</t>
  </si>
  <si>
    <t>KL-2018-5607285</t>
  </si>
  <si>
    <t>KL-2018-5607286</t>
  </si>
  <si>
    <t>KL-2018-5607287</t>
  </si>
  <si>
    <t>KL-2018-5607288</t>
  </si>
  <si>
    <t>KL-2018-5607289</t>
  </si>
  <si>
    <t>KL-2018-5607290</t>
  </si>
  <si>
    <t>KL-2018-5607291</t>
  </si>
  <si>
    <t>KL-2018-5607292</t>
  </si>
  <si>
    <t>KL-2018-5607293</t>
  </si>
  <si>
    <t>KL-2018-5607294</t>
  </si>
  <si>
    <t>KL-2018-5607295</t>
  </si>
  <si>
    <t>KL-2018-5607296</t>
  </si>
  <si>
    <t>KL-2018-5607297</t>
  </si>
  <si>
    <t>KL-2018-5607298</t>
  </si>
  <si>
    <t>KL-2018-5607299</t>
  </si>
  <si>
    <t>KL-2018-5607300</t>
  </si>
  <si>
    <t>KL-2018-5607301</t>
  </si>
  <si>
    <t>KL-2018-5607302</t>
  </si>
  <si>
    <t>KL-2018-5607303</t>
  </si>
  <si>
    <t>KL-2018-5607304</t>
  </si>
  <si>
    <t>KL-2018-5607305</t>
  </si>
  <si>
    <t>KL-2018-5607306</t>
  </si>
  <si>
    <t>KL-2018-5607307</t>
  </si>
  <si>
    <t>KL-2018-5607308</t>
  </si>
  <si>
    <t>KL-2018-5607309</t>
  </si>
  <si>
    <t>KL-2018-5607310</t>
  </si>
  <si>
    <t>KL-2018-5607311</t>
  </si>
  <si>
    <t>KL-2018-5607312</t>
  </si>
  <si>
    <t>KL-2018-5607313</t>
  </si>
  <si>
    <t>KL-2018-5607314</t>
  </si>
  <si>
    <t>KL-2018-5607315</t>
  </si>
  <si>
    <t>KL-2018-5607316</t>
  </si>
  <si>
    <t>KL-2018-5607317</t>
  </si>
  <si>
    <t>KL-2018-5607318</t>
  </si>
  <si>
    <t>KL-2018-5607319</t>
  </si>
  <si>
    <t>KL-2018-5607320</t>
  </si>
  <si>
    <t>KL-2018-5607321</t>
  </si>
  <si>
    <t>KL-2018-5607322</t>
  </si>
  <si>
    <t>KL-2018-5607323</t>
  </si>
  <si>
    <t>KL-2018-5607324</t>
  </si>
  <si>
    <t>KL-2018-5607325</t>
  </si>
  <si>
    <t>KL-2018-5607326</t>
  </si>
  <si>
    <t>KL-2018-5607327</t>
  </si>
  <si>
    <t>KL-2018-5607328</t>
  </si>
  <si>
    <t>KL-2018-5607329</t>
  </si>
  <si>
    <t>KL-2018-5607330</t>
  </si>
  <si>
    <t>KL-2018-5607331</t>
  </si>
  <si>
    <t>KL-2018-5607332</t>
  </si>
  <si>
    <t>KL-2018-5607333</t>
  </si>
  <si>
    <t>KL-2018-5607334</t>
  </si>
  <si>
    <t>KL-2018-5607335</t>
  </si>
  <si>
    <t>KL-2018-5607336</t>
  </si>
  <si>
    <t>KL-2018-5607337</t>
  </si>
  <si>
    <t>KL-2018-5607338</t>
  </si>
  <si>
    <t>KL-2018-5607339</t>
  </si>
  <si>
    <t>KL-2018-5607340</t>
  </si>
  <si>
    <t>KL-2018-5607341</t>
  </si>
  <si>
    <t>KL-2018-5607342</t>
  </si>
  <si>
    <t>KL-2018-5607343</t>
  </si>
  <si>
    <t>KL-2018-5607344</t>
  </si>
  <si>
    <t>KL-2018-5607345</t>
  </si>
  <si>
    <t>KL-2018-5607346</t>
  </si>
  <si>
    <t>KL-2018-5607347</t>
  </si>
  <si>
    <t>KL-2018-5607348</t>
  </si>
  <si>
    <t>KL-2018-5607349</t>
  </si>
  <si>
    <t>KL-2018-5607350</t>
  </si>
  <si>
    <t>KL-2018-5607351</t>
  </si>
  <si>
    <t>KL-2018-5607352</t>
  </si>
  <si>
    <t>KL-2018-5607353</t>
  </si>
  <si>
    <t>Row Labels</t>
  </si>
  <si>
    <t>Grand Total</t>
  </si>
  <si>
    <t>Sum of Sales</t>
  </si>
  <si>
    <t>Column Labels</t>
  </si>
  <si>
    <t>Right Click on pivot table &gt; Pivot table options &gt; Autofit column width &gt; untick</t>
  </si>
  <si>
    <t>Click on Slicer &gt; Column change 3 from 1&gt; Slicer setting &gt; Display Header Untick</t>
  </si>
  <si>
    <t>Click on Slicer &gt; Report Connection &gt; Connect all table which you want to connect</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</si>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</sst>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6" formatCode="&quot;$&quot;#,##0_);[Red]\(&quot;$&quot;#,##0\)"/>
    <numFmt numFmtId="8" formatCode="&quot;$&quot;#,##0.00_);[Red]\(&quot;$&quot;#,##0.00\)"/>
    <numFmt numFmtId="164" formatCode="_ &quot;₹&quot;\ * #,##0.00_ ;_ &quot;₹&quot;\ * \-#,##0.00_ ;_ &quot;₹&quot;\ * &quot;-&quot;??_ ;_ @_ "/>
    <numFmt numFmtId="165" formatCode="[$$-409]#,##0;[Red][$$-409]#,##0"/>
    <numFmt numFmtId="166" formatCode="[$$-409]#,##0.00;[Red][$$-409]#,##0.00"/>
  </numFmts>
  <fonts count="12" x14ac:knownFonts="1">
    <font>
      <sz val="11"/>
      <color theme="1"/>
      <name val="Calibri"/>
      <family val="2"/>
      <scheme val="minor"/>
    </font>
    <font>
      <sz val="11"/>
      <color theme="1"/>
      <name val="Calibri"/>
      <family val="2"/>
      <scheme val="minor"/>
    </font>
    <font>
      <b/>
      <sz val="11"/>
      <color theme="1"/>
      <name val="Calibri"/>
      <family val="2"/>
      <scheme val="minor"/>
    </font>
    <font>
      <sz val="11"/>
      <color theme="3" tint="-0.499984740745262"/>
      <name val="Calibri"/>
      <family val="2"/>
      <scheme val="minor"/>
    </font>
    <font>
      <b/>
      <sz val="11"/>
      <color theme="3" tint="-0.499984740745262"/>
      <name val="Calibri"/>
      <family val="2"/>
      <scheme val="minor"/>
    </font>
    <font>
      <sz val="11"/>
      <color rgb="FF006100"/>
      <name val="Calibri"/>
      <family val="2"/>
      <scheme val="minor"/>
    </font>
    <font>
      <b/>
      <sz val="11"/>
      <color theme="0"/>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b/>
      <sz val="22"/>
      <color theme="1"/>
      <name val="Calibri"/>
      <family val="2"/>
      <scheme val="minor"/>
    </font>
    <font>
      <b/>
      <sz val="12"/>
      <name val="Calibri"/>
      <family val="2"/>
      <scheme val="minor"/>
    </font>
  </fonts>
  <fills count="15">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C6EFCE"/>
      </patternFill>
    </fill>
    <fill>
      <patternFill patternType="solid">
        <fgColor theme="3"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rgb="FF339966"/>
        <bgColor indexed="64"/>
      </patternFill>
    </fill>
    <fill>
      <patternFill patternType="solid">
        <fgColor rgb="FFFFFF99"/>
        <bgColor indexed="64"/>
      </patternFill>
    </fill>
    <fill>
      <patternFill patternType="solid">
        <fgColor rgb="FFFFFF00"/>
        <bgColor indexed="64"/>
      </patternFill>
    </fill>
    <fill>
      <patternFill patternType="solid">
        <fgColor rgb="FF00B050"/>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7"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s>
  <cellStyleXfs count="7">
    <xf numFmtId="0" fontId="0" fillId="0" borderId="0"/>
    <xf numFmtId="9" fontId="1" fillId="0" borderId="0" applyFont="0" applyFill="0" applyBorder="0" applyAlignment="0" applyProtection="0"/>
    <xf numFmtId="164" fontId="1" fillId="0" borderId="0" applyFont="0" applyFill="0" applyBorder="0" applyAlignment="0" applyProtection="0"/>
    <xf numFmtId="0" fontId="5" fillId="4" borderId="0" applyNumberFormat="0" applyBorder="0" applyAlignment="0" applyProtection="0"/>
    <xf numFmtId="0" fontId="7" fillId="8" borderId="0" applyNumberFormat="0" applyBorder="0" applyProtection="0"/>
    <xf numFmtId="0" fontId="1" fillId="3" borderId="0"/>
    <xf numFmtId="0" fontId="1" fillId="9" borderId="2"/>
  </cellStyleXfs>
  <cellXfs count="59">
    <xf numFmtId="0" fontId="0" fillId="0" borderId="0" xfId="0"/>
    <xf numFmtId="0" fontId="0" fillId="0" borderId="1" xfId="0" applyBorder="1"/>
    <xf numFmtId="0" fontId="2" fillId="0" borderId="1" xfId="0" applyFont="1" applyBorder="1"/>
    <xf numFmtId="0" fontId="2" fillId="2" borderId="1" xfId="0" applyFont="1" applyFill="1" applyBorder="1"/>
    <xf numFmtId="164" fontId="2" fillId="2" borderId="1" xfId="0" applyNumberFormat="1" applyFont="1" applyFill="1" applyBorder="1"/>
    <xf numFmtId="164" fontId="0" fillId="0" borderId="1" xfId="0" applyNumberFormat="1" applyBorder="1"/>
    <xf numFmtId="164" fontId="0" fillId="0" borderId="0" xfId="0" applyNumberFormat="1"/>
    <xf numFmtId="10" fontId="0" fillId="0" borderId="0" xfId="0" applyNumberFormat="1"/>
    <xf numFmtId="10" fontId="0" fillId="0" borderId="1" xfId="1" applyNumberFormat="1" applyFont="1" applyBorder="1"/>
    <xf numFmtId="10" fontId="0" fillId="0" borderId="1" xfId="0" applyNumberFormat="1" applyBorder="1"/>
    <xf numFmtId="0" fontId="2" fillId="0" borderId="0" xfId="0" applyFont="1"/>
    <xf numFmtId="0" fontId="2" fillId="5" borderId="1" xfId="0" applyFont="1" applyFill="1" applyBorder="1"/>
    <xf numFmtId="0" fontId="2" fillId="6" borderId="1" xfId="0" applyFont="1" applyFill="1" applyBorder="1"/>
    <xf numFmtId="0" fontId="0" fillId="6" borderId="1" xfId="0" applyFill="1" applyBorder="1"/>
    <xf numFmtId="0" fontId="0" fillId="2" borderId="1" xfId="0" applyFill="1" applyBorder="1"/>
    <xf numFmtId="0" fontId="0" fillId="7" borderId="1" xfId="0" applyFont="1" applyFill="1" applyBorder="1"/>
    <xf numFmtId="0" fontId="7" fillId="8" borderId="0" xfId="4"/>
    <xf numFmtId="0" fontId="1" fillId="3" borderId="1" xfId="5" applyBorder="1"/>
    <xf numFmtId="0" fontId="1" fillId="9" borderId="1" xfId="6" applyBorder="1"/>
    <xf numFmtId="0" fontId="2" fillId="3" borderId="1" xfId="0" applyFont="1" applyFill="1" applyBorder="1" applyAlignment="1">
      <alignment horizontal="center" vertical="center" wrapText="1"/>
    </xf>
    <xf numFmtId="16" fontId="0" fillId="0" borderId="1" xfId="0" applyNumberFormat="1" applyBorder="1" applyAlignment="1">
      <alignment vertical="center" wrapText="1"/>
    </xf>
    <xf numFmtId="0" fontId="0" fillId="0" borderId="1" xfId="0" applyBorder="1" applyAlignment="1">
      <alignment vertical="center" wrapText="1"/>
    </xf>
    <xf numFmtId="0" fontId="6" fillId="11" borderId="1" xfId="3" applyFont="1" applyFill="1" applyBorder="1"/>
    <xf numFmtId="0" fontId="2" fillId="12" borderId="0" xfId="0" applyFont="1" applyFill="1" applyAlignment="1">
      <alignment vertical="center" wrapText="1"/>
    </xf>
    <xf numFmtId="0" fontId="2" fillId="12" borderId="0" xfId="0" applyFont="1" applyFill="1"/>
    <xf numFmtId="0" fontId="2" fillId="10" borderId="1" xfId="0" applyFont="1" applyFill="1" applyBorder="1" applyAlignment="1">
      <alignment horizontal="center"/>
    </xf>
    <xf numFmtId="6" fontId="0" fillId="0" borderId="1" xfId="0" applyNumberFormat="1" applyBorder="1"/>
    <xf numFmtId="165" fontId="0" fillId="0" borderId="1" xfId="0" applyNumberFormat="1" applyBorder="1"/>
    <xf numFmtId="166" fontId="0" fillId="0" borderId="1" xfId="0" applyNumberFormat="1" applyBorder="1"/>
    <xf numFmtId="0" fontId="0" fillId="0" borderId="0" xfId="0" applyNumberFormat="1"/>
    <xf numFmtId="0" fontId="0" fillId="0" borderId="1" xfId="0" applyNumberFormat="1" applyBorder="1"/>
    <xf numFmtId="2" fontId="0" fillId="0" borderId="1" xfId="0" applyNumberFormat="1" applyBorder="1"/>
    <xf numFmtId="0" fontId="0" fillId="10" borderId="1" xfId="0" applyFill="1" applyBorder="1"/>
    <xf numFmtId="0" fontId="0" fillId="0" borderId="0" xfId="0" applyAlignment="1">
      <alignment horizontal="left"/>
    </xf>
    <xf numFmtId="0" fontId="0" fillId="0" borderId="1" xfId="0" applyBorder="1" applyAlignment="1">
      <alignment horizontal="left"/>
    </xf>
    <xf numFmtId="9" fontId="0" fillId="0" borderId="0" xfId="0" applyNumberFormat="1"/>
    <xf numFmtId="9" fontId="2" fillId="13" borderId="1" xfId="0" applyNumberFormat="1" applyFont="1" applyFill="1" applyBorder="1"/>
    <xf numFmtId="0" fontId="2" fillId="13" borderId="1" xfId="0" applyFont="1" applyFill="1" applyBorder="1"/>
    <xf numFmtId="9" fontId="0" fillId="0" borderId="1" xfId="1" applyFont="1" applyBorder="1"/>
    <xf numFmtId="8" fontId="0" fillId="0" borderId="1" xfId="0" applyNumberFormat="1" applyBorder="1"/>
    <xf numFmtId="0" fontId="10" fillId="13" borderId="1" xfId="0" applyFont="1" applyFill="1" applyBorder="1" applyAlignment="1">
      <alignment horizontal="center" vertical="center"/>
    </xf>
    <xf numFmtId="0" fontId="2" fillId="6" borderId="1" xfId="0" applyFont="1" applyFill="1" applyBorder="1" applyAlignment="1">
      <alignment horizontal="center"/>
    </xf>
    <xf numFmtId="0" fontId="8" fillId="7" borderId="1" xfId="0" applyFont="1" applyFill="1" applyBorder="1" applyAlignment="1">
      <alignment horizontal="center"/>
    </xf>
    <xf numFmtId="0" fontId="0" fillId="6" borderId="1" xfId="0" applyFill="1" applyBorder="1" applyAlignment="1">
      <alignment horizontal="left" vertical="top" wrapText="1"/>
    </xf>
    <xf numFmtId="0" fontId="0" fillId="6" borderId="1" xfId="0" applyFill="1" applyBorder="1" applyAlignment="1">
      <alignment horizontal="left" vertical="top"/>
    </xf>
    <xf numFmtId="0" fontId="9" fillId="0" borderId="1" xfId="0" applyFont="1" applyBorder="1" applyAlignment="1">
      <alignment horizontal="center" vertical="center"/>
    </xf>
    <xf numFmtId="164" fontId="0" fillId="0" borderId="1" xfId="2" applyFont="1" applyBorder="1" applyAlignment="1">
      <alignment horizontal="center"/>
    </xf>
    <xf numFmtId="0" fontId="0" fillId="0" borderId="1" xfId="0" applyBorder="1" applyAlignment="1">
      <alignment horizontal="center" vertical="center" wrapText="1"/>
    </xf>
    <xf numFmtId="0" fontId="2" fillId="0" borderId="1" xfId="0" applyFont="1" applyBorder="1" applyAlignment="1">
      <alignment horizontal="center"/>
    </xf>
    <xf numFmtId="0" fontId="2" fillId="10" borderId="0" xfId="0" applyFont="1" applyFill="1" applyAlignment="1">
      <alignment horizontal="center"/>
    </xf>
    <xf numFmtId="0" fontId="3" fillId="3" borderId="1" xfId="0" applyFont="1" applyFill="1" applyBorder="1" applyAlignment="1">
      <alignment horizontal="center" vertical="center" wrapText="1"/>
    </xf>
    <xf numFmtId="0" fontId="2" fillId="14" borderId="1" xfId="0" applyFont="1" applyFill="1" applyBorder="1" applyAlignment="1">
      <alignment horizontal="center"/>
    </xf>
    <xf numFmtId="0" fontId="2" fillId="13" borderId="1" xfId="0" applyFont="1" applyFill="1" applyBorder="1" applyAlignment="1">
      <alignment horizontal="center"/>
    </xf>
    <xf numFmtId="0" fontId="0" fillId="13" borderId="1" xfId="0" applyFill="1" applyBorder="1" applyAlignment="1">
      <alignment horizontal="center" vertical="top" wrapText="1"/>
    </xf>
    <xf numFmtId="0" fontId="0" fillId="10" borderId="0" xfId="0" applyFill="1"/>
    <xf numFmtId="0" fontId="11" fillId="0" borderId="1" xfId="0" applyFont="1" applyBorder="1"/>
    <xf numFmtId="14" fontId="11" fillId="0" borderId="1" xfId="0" applyNumberFormat="1" applyFont="1" applyBorder="1"/>
    <xf numFmtId="14" fontId="0" fillId="0" borderId="1" xfId="0" applyNumberFormat="1" applyBorder="1"/>
    <xf numFmtId="0" fontId="0" fillId="0" borderId="0" xfId="0" pivotButton="1"/>
  </cellXfs>
  <cellStyles count="7">
    <cellStyle name="Currency" xfId="2" builtinId="4"/>
    <cellStyle name="Good" xfId="3" builtinId="26"/>
    <cellStyle name="GrayCell" xfId="5"/>
    <cellStyle name="Heading 3 2" xfId="4"/>
    <cellStyle name="Normal" xfId="0" builtinId="0"/>
    <cellStyle name="Percent" xfId="1" builtinId="5"/>
    <cellStyle name="YellowCell" xfId="6"/>
  </cellStyles>
  <dxfs count="3">
    <dxf>
      <fill>
        <patternFill>
          <bgColor rgb="FFC00000"/>
        </patternFill>
      </fill>
    </dxf>
    <dxf>
      <font>
        <color theme="1"/>
      </font>
      <fill>
        <patternFill>
          <bgColor rgb="FFFF0000"/>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1/relationships/timelineCache" Target="timelineCaches/timelineCach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[Book1.xlsx]Pivot Chart!PivotTable2</c:name>
    <c:fmtId val="0"/>
  </c:pivotSource>
  <c:chart>
    <c:title>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ext>
          </c:extLst>
        </c:dLbl>
      </c:pivotFmt>
    </c:pivotFmts>
    <c:plotArea>
      <c:layout/>
      <c:pieChart>
        <c:varyColors val="1"/>
        <c:ser>
          <c:idx val="0"/>
          <c:order val="0"/>
          <c:tx>
            <c:strRef>
              <c:f>'Pivot Chart'!$B$1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'Pivot Chart'!$A$2:$A$5</c:f>
              <c:strCache>
                <c:ptCount val="3"/>
                <c:pt idx="0">
                  <c:v>Central</c:v>
                </c:pt>
                <c:pt idx="1">
                  <c:v>North</c:v>
                </c:pt>
                <c:pt idx="2">
                  <c:v>South</c:v>
                </c:pt>
              </c:strCache>
            </c:strRef>
          </c:cat>
          <c:val>
            <c:numRef>
              <c:f>'Pivot Chart'!$B$2:$B$5</c:f>
              <c:numCache>
                <c:formatCode>General</c:formatCode>
                <c:ptCount val="3"/>
                <c:pt idx="0">
                  <c:v>669888</c:v>
                </c:pt>
                <c:pt idx="1">
                  <c:v>102773</c:v>
                </c:pt>
                <c:pt idx="2">
                  <c:v>376182</c:v>
                </c:pt>
              </c:numCache>
            </c:numRef>
          </c:val>
          <c:extLst>
            <c:ext xmlns:c16="http://schemas.microsoft.com/office/drawing/2014/chart" uri="{C3380CC4-5D6E-409C-BE32-E72D297353CC}">
              <c16:uniqueId val="{00000000-0380-4FF8-8FF2-9652D560CB0C}"/>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[Book1.xlsx]Timeline!PivotTable5</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s>
    <c:plotArea>
      <c:layout/>
      <c:pieChart>
        <c:varyColors val="1"/>
        <c:ser>
          <c:idx val="0"/>
          <c:order val="0"/>
          <c:tx>
            <c:strRef>
              <c:f>Timeline!$B$3:$B$5</c:f>
              <c:strCache>
                <c:ptCount val="1"/>
                <c:pt idx="0">
                  <c:v>Jan</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Pt>
            <c:idx val="6"/>
            <c:bubble3D val="0"/>
            <c:spPr>
              <a:solidFill>
                <a:schemeClr val="accent1">
                  <a:lumMod val="60000"/>
                </a:schemeClr>
              </a:solidFill>
              <a:ln>
                <a:noFill/>
              </a:ln>
              <a:effectLst/>
            </c:spPr>
          </c:dPt>
          <c:cat>
            <c:strRef>
              <c:f>Timeline!$A$6:$A$13</c:f>
              <c:strCache>
                <c:ptCount val="7"/>
                <c:pt idx="0">
                  <c:v>Austria</c:v>
                </c:pt>
                <c:pt idx="1">
                  <c:v>Belgium</c:v>
                </c:pt>
                <c:pt idx="2">
                  <c:v>Denmark</c:v>
                </c:pt>
                <c:pt idx="3">
                  <c:v>France</c:v>
                </c:pt>
                <c:pt idx="4">
                  <c:v>Germany</c:v>
                </c:pt>
                <c:pt idx="5">
                  <c:v>India</c:v>
                </c:pt>
                <c:pt idx="6">
                  <c:v>Spain</c:v>
                </c:pt>
              </c:strCache>
            </c:strRef>
          </c:cat>
          <c:val>
            <c:numRef>
              <c:f>Timeline!$B$6:$B$13</c:f>
              <c:numCache>
                <c:formatCode>General</c:formatCode>
                <c:ptCount val="7"/>
                <c:pt idx="0">
                  <c:v>19878</c:v>
                </c:pt>
                <c:pt idx="1">
                  <c:v>6452</c:v>
                </c:pt>
                <c:pt idx="2">
                  <c:v>10055</c:v>
                </c:pt>
                <c:pt idx="3">
                  <c:v>3263</c:v>
                </c:pt>
                <c:pt idx="4">
                  <c:v>33241</c:v>
                </c:pt>
                <c:pt idx="5">
                  <c:v>17267</c:v>
                </c:pt>
                <c:pt idx="6">
                  <c:v>6647</c:v>
                </c:pt>
              </c:numCache>
            </c:numRef>
          </c:val>
          <c:extLst>
            <c:ext xmlns:c16="http://schemas.microsoft.com/office/drawing/2014/chart" uri="{C3380CC4-5D6E-409C-BE32-E72D297353CC}">
              <c16:uniqueId val="{00000000-F2B7-4A62-ADF8-DEAE7EFA8F38}"/>
            </c:ext>
          </c:extLst>
        </c:ser>
        <c:ser>
          <c:idx val="1"/>
          <c:order val="1"/>
          <c:tx>
            <c:strRef>
              <c:f>Timeline!$C$3:$C$5</c:f>
              <c:strCache>
                <c:ptCount val="1"/>
                <c:pt idx="0">
                  <c:v>Feb</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Pt>
            <c:idx val="6"/>
            <c:bubble3D val="0"/>
            <c:spPr>
              <a:solidFill>
                <a:schemeClr val="accent1">
                  <a:lumMod val="60000"/>
                </a:schemeClr>
              </a:solidFill>
              <a:ln>
                <a:noFill/>
              </a:ln>
              <a:effectLst/>
            </c:spPr>
          </c:dPt>
          <c:cat>
            <c:strRef>
              <c:f>Timeline!$A$6:$A$13</c:f>
              <c:strCache>
                <c:ptCount val="7"/>
                <c:pt idx="0">
                  <c:v>Austria</c:v>
                </c:pt>
                <c:pt idx="1">
                  <c:v>Belgium</c:v>
                </c:pt>
                <c:pt idx="2">
                  <c:v>Denmark</c:v>
                </c:pt>
                <c:pt idx="3">
                  <c:v>France</c:v>
                </c:pt>
                <c:pt idx="4">
                  <c:v>Germany</c:v>
                </c:pt>
                <c:pt idx="5">
                  <c:v>India</c:v>
                </c:pt>
                <c:pt idx="6">
                  <c:v>Spain</c:v>
                </c:pt>
              </c:strCache>
            </c:strRef>
          </c:cat>
          <c:val>
            <c:numRef>
              <c:f>Timeline!$C$6:$C$13</c:f>
              <c:numCache>
                <c:formatCode>General</c:formatCode>
                <c:ptCount val="7"/>
                <c:pt idx="0">
                  <c:v>9040</c:v>
                </c:pt>
                <c:pt idx="1">
                  <c:v>8936</c:v>
                </c:pt>
                <c:pt idx="2">
                  <c:v>7913</c:v>
                </c:pt>
                <c:pt idx="3">
                  <c:v>6635</c:v>
                </c:pt>
                <c:pt idx="4">
                  <c:v>22623</c:v>
                </c:pt>
                <c:pt idx="5">
                  <c:v>28754</c:v>
                </c:pt>
                <c:pt idx="6">
                  <c:v>2661</c:v>
                </c:pt>
              </c:numCache>
            </c:numRef>
          </c:val>
          <c:extLst>
            <c:ext xmlns:c16="http://schemas.microsoft.com/office/drawing/2014/chart" uri="{C3380CC4-5D6E-409C-BE32-E72D297353CC}">
              <c16:uniqueId val="{00000020-F2B7-4A62-ADF8-DEAE7EFA8F38}"/>
            </c:ext>
          </c:extLst>
        </c:ser>
        <c:ser>
          <c:idx val="2"/>
          <c:order val="2"/>
          <c:tx>
            <c:strRef>
              <c:f>Timeline!$D$3:$D$5</c:f>
              <c:strCache>
                <c:ptCount val="1"/>
                <c:pt idx="0">
                  <c:v>Mar</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Pt>
            <c:idx val="6"/>
            <c:bubble3D val="0"/>
            <c:spPr>
              <a:solidFill>
                <a:schemeClr val="accent1">
                  <a:lumMod val="60000"/>
                </a:schemeClr>
              </a:solidFill>
              <a:ln>
                <a:noFill/>
              </a:ln>
              <a:effectLst/>
            </c:spPr>
          </c:dPt>
          <c:cat>
            <c:strRef>
              <c:f>Timeline!$A$6:$A$13</c:f>
              <c:strCache>
                <c:ptCount val="7"/>
                <c:pt idx="0">
                  <c:v>Austria</c:v>
                </c:pt>
                <c:pt idx="1">
                  <c:v>Belgium</c:v>
                </c:pt>
                <c:pt idx="2">
                  <c:v>Denmark</c:v>
                </c:pt>
                <c:pt idx="3">
                  <c:v>France</c:v>
                </c:pt>
                <c:pt idx="4">
                  <c:v>Germany</c:v>
                </c:pt>
                <c:pt idx="5">
                  <c:v>India</c:v>
                </c:pt>
                <c:pt idx="6">
                  <c:v>Spain</c:v>
                </c:pt>
              </c:strCache>
            </c:strRef>
          </c:cat>
          <c:val>
            <c:numRef>
              <c:f>Timeline!$D$6:$D$13</c:f>
              <c:numCache>
                <c:formatCode>General</c:formatCode>
                <c:ptCount val="7"/>
                <c:pt idx="0">
                  <c:v>19878</c:v>
                </c:pt>
                <c:pt idx="1">
                  <c:v>10298</c:v>
                </c:pt>
                <c:pt idx="2">
                  <c:v>6542</c:v>
                </c:pt>
                <c:pt idx="3">
                  <c:v>3263</c:v>
                </c:pt>
                <c:pt idx="4">
                  <c:v>28126</c:v>
                </c:pt>
                <c:pt idx="5">
                  <c:v>28585</c:v>
                </c:pt>
                <c:pt idx="6">
                  <c:v>4400</c:v>
                </c:pt>
              </c:numCache>
            </c:numRef>
          </c:val>
          <c:extLst>
            <c:ext xmlns:c16="http://schemas.microsoft.com/office/drawing/2014/chart" uri="{C3380CC4-5D6E-409C-BE32-E72D297353CC}">
              <c16:uniqueId val="{00000021-F2B7-4A62-ADF8-DEAE7EFA8F38}"/>
            </c:ext>
          </c:extLst>
        </c:ser>
        <c:ser>
          <c:idx val="3"/>
          <c:order val="3"/>
          <c:tx>
            <c:strRef>
              <c:f>Timeline!$E$3:$E$5</c:f>
              <c:strCache>
                <c:ptCount val="1"/>
                <c:pt idx="0">
                  <c:v>Apr</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Pt>
            <c:idx val="6"/>
            <c:bubble3D val="0"/>
            <c:spPr>
              <a:solidFill>
                <a:schemeClr val="accent1">
                  <a:lumMod val="60000"/>
                </a:schemeClr>
              </a:solidFill>
              <a:ln>
                <a:noFill/>
              </a:ln>
              <a:effectLst/>
            </c:spPr>
          </c:dPt>
          <c:cat>
            <c:strRef>
              <c:f>Timeline!$A$6:$A$13</c:f>
              <c:strCache>
                <c:ptCount val="7"/>
                <c:pt idx="0">
                  <c:v>Austria</c:v>
                </c:pt>
                <c:pt idx="1">
                  <c:v>Belgium</c:v>
                </c:pt>
                <c:pt idx="2">
                  <c:v>Denmark</c:v>
                </c:pt>
                <c:pt idx="3">
                  <c:v>France</c:v>
                </c:pt>
                <c:pt idx="4">
                  <c:v>Germany</c:v>
                </c:pt>
                <c:pt idx="5">
                  <c:v>India</c:v>
                </c:pt>
                <c:pt idx="6">
                  <c:v>Spain</c:v>
                </c:pt>
              </c:strCache>
            </c:strRef>
          </c:cat>
          <c:val>
            <c:numRef>
              <c:f>Timeline!$E$6:$E$13</c:f>
              <c:numCache>
                <c:formatCode>General</c:formatCode>
                <c:ptCount val="7"/>
                <c:pt idx="0">
                  <c:v>9040</c:v>
                </c:pt>
                <c:pt idx="1">
                  <c:v>6094</c:v>
                </c:pt>
                <c:pt idx="2">
                  <c:v>11426</c:v>
                </c:pt>
                <c:pt idx="3">
                  <c:v>6635</c:v>
                </c:pt>
                <c:pt idx="4">
                  <c:v>24316</c:v>
                </c:pt>
                <c:pt idx="5">
                  <c:v>28754</c:v>
                </c:pt>
                <c:pt idx="6">
                  <c:v>4908</c:v>
                </c:pt>
              </c:numCache>
            </c:numRef>
          </c:val>
          <c:extLst>
            <c:ext xmlns:c16="http://schemas.microsoft.com/office/drawing/2014/chart" uri="{C3380CC4-5D6E-409C-BE32-E72D297353CC}">
              <c16:uniqueId val="{00000022-F2B7-4A62-ADF8-DEAE7EFA8F38}"/>
            </c:ext>
          </c:extLst>
        </c:ser>
        <c:ser>
          <c:idx val="4"/>
          <c:order val="4"/>
          <c:tx>
            <c:strRef>
              <c:f>Timeline!$F$3:$F$5</c:f>
              <c:strCache>
                <c:ptCount val="1"/>
                <c:pt idx="0">
                  <c:v>May</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Pt>
            <c:idx val="6"/>
            <c:bubble3D val="0"/>
            <c:spPr>
              <a:solidFill>
                <a:schemeClr val="accent1">
                  <a:lumMod val="60000"/>
                </a:schemeClr>
              </a:solidFill>
              <a:ln>
                <a:noFill/>
              </a:ln>
              <a:effectLst/>
            </c:spPr>
          </c:dPt>
          <c:cat>
            <c:strRef>
              <c:f>Timeline!$A$6:$A$13</c:f>
              <c:strCache>
                <c:ptCount val="7"/>
                <c:pt idx="0">
                  <c:v>Austria</c:v>
                </c:pt>
                <c:pt idx="1">
                  <c:v>Belgium</c:v>
                </c:pt>
                <c:pt idx="2">
                  <c:v>Denmark</c:v>
                </c:pt>
                <c:pt idx="3">
                  <c:v>France</c:v>
                </c:pt>
                <c:pt idx="4">
                  <c:v>Germany</c:v>
                </c:pt>
                <c:pt idx="5">
                  <c:v>India</c:v>
                </c:pt>
                <c:pt idx="6">
                  <c:v>Spain</c:v>
                </c:pt>
              </c:strCache>
            </c:strRef>
          </c:cat>
          <c:val>
            <c:numRef>
              <c:f>Timeline!$F$6:$F$13</c:f>
              <c:numCache>
                <c:formatCode>General</c:formatCode>
                <c:ptCount val="7"/>
                <c:pt idx="0">
                  <c:v>19878</c:v>
                </c:pt>
                <c:pt idx="1">
                  <c:v>13140</c:v>
                </c:pt>
                <c:pt idx="2">
                  <c:v>6542</c:v>
                </c:pt>
                <c:pt idx="3">
                  <c:v>3263</c:v>
                </c:pt>
                <c:pt idx="4">
                  <c:v>23848</c:v>
                </c:pt>
                <c:pt idx="5">
                  <c:v>28585</c:v>
                </c:pt>
                <c:pt idx="6">
                  <c:v>4400</c:v>
                </c:pt>
              </c:numCache>
            </c:numRef>
          </c:val>
          <c:extLst>
            <c:ext xmlns:c16="http://schemas.microsoft.com/office/drawing/2014/chart" uri="{C3380CC4-5D6E-409C-BE32-E72D297353CC}">
              <c16:uniqueId val="{00000023-F2B7-4A62-ADF8-DEAE7EFA8F38}"/>
            </c:ext>
          </c:extLst>
        </c:ser>
        <c:ser>
          <c:idx val="5"/>
          <c:order val="5"/>
          <c:tx>
            <c:strRef>
              <c:f>Timeline!$G$3:$G$5</c:f>
              <c:strCache>
                <c:ptCount val="1"/>
                <c:pt idx="0">
                  <c:v>Jun</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Pt>
            <c:idx val="6"/>
            <c:bubble3D val="0"/>
            <c:spPr>
              <a:solidFill>
                <a:schemeClr val="accent1">
                  <a:lumMod val="60000"/>
                </a:schemeClr>
              </a:solidFill>
              <a:ln>
                <a:noFill/>
              </a:ln>
              <a:effectLst/>
            </c:spPr>
          </c:dPt>
          <c:cat>
            <c:strRef>
              <c:f>Timeline!$A$6:$A$13</c:f>
              <c:strCache>
                <c:ptCount val="7"/>
                <c:pt idx="0">
                  <c:v>Austria</c:v>
                </c:pt>
                <c:pt idx="1">
                  <c:v>Belgium</c:v>
                </c:pt>
                <c:pt idx="2">
                  <c:v>Denmark</c:v>
                </c:pt>
                <c:pt idx="3">
                  <c:v>France</c:v>
                </c:pt>
                <c:pt idx="4">
                  <c:v>Germany</c:v>
                </c:pt>
                <c:pt idx="5">
                  <c:v>India</c:v>
                </c:pt>
                <c:pt idx="6">
                  <c:v>Spain</c:v>
                </c:pt>
              </c:strCache>
            </c:strRef>
          </c:cat>
          <c:val>
            <c:numRef>
              <c:f>Timeline!$G$6:$G$13</c:f>
              <c:numCache>
                <c:formatCode>General</c:formatCode>
                <c:ptCount val="7"/>
                <c:pt idx="0">
                  <c:v>9040</c:v>
                </c:pt>
                <c:pt idx="1">
                  <c:v>6094</c:v>
                </c:pt>
                <c:pt idx="2">
                  <c:v>11426</c:v>
                </c:pt>
                <c:pt idx="3">
                  <c:v>3149</c:v>
                </c:pt>
                <c:pt idx="4">
                  <c:v>32016</c:v>
                </c:pt>
                <c:pt idx="5">
                  <c:v>25952</c:v>
                </c:pt>
                <c:pt idx="6">
                  <c:v>4908</c:v>
                </c:pt>
              </c:numCache>
            </c:numRef>
          </c:val>
          <c:extLst>
            <c:ext xmlns:c16="http://schemas.microsoft.com/office/drawing/2014/chart" uri="{C3380CC4-5D6E-409C-BE32-E72D297353CC}">
              <c16:uniqueId val="{00000024-F2B7-4A62-ADF8-DEAE7EFA8F38}"/>
            </c:ext>
          </c:extLst>
        </c:ser>
        <c:ser>
          <c:idx val="6"/>
          <c:order val="6"/>
          <c:tx>
            <c:strRef>
              <c:f>Timeline!$H$3:$H$5</c:f>
              <c:strCache>
                <c:ptCount val="1"/>
                <c:pt idx="0">
                  <c:v>Jul</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Pt>
            <c:idx val="6"/>
            <c:bubble3D val="0"/>
            <c:spPr>
              <a:solidFill>
                <a:schemeClr val="accent1">
                  <a:lumMod val="60000"/>
                </a:schemeClr>
              </a:solidFill>
              <a:ln>
                <a:noFill/>
              </a:ln>
              <a:effectLst/>
            </c:spPr>
          </c:dPt>
          <c:cat>
            <c:strRef>
              <c:f>Timeline!$A$6:$A$13</c:f>
              <c:strCache>
                <c:ptCount val="7"/>
                <c:pt idx="0">
                  <c:v>Austria</c:v>
                </c:pt>
                <c:pt idx="1">
                  <c:v>Belgium</c:v>
                </c:pt>
                <c:pt idx="2">
                  <c:v>Denmark</c:v>
                </c:pt>
                <c:pt idx="3">
                  <c:v>France</c:v>
                </c:pt>
                <c:pt idx="4">
                  <c:v>Germany</c:v>
                </c:pt>
                <c:pt idx="5">
                  <c:v>India</c:v>
                </c:pt>
                <c:pt idx="6">
                  <c:v>Spain</c:v>
                </c:pt>
              </c:strCache>
            </c:strRef>
          </c:cat>
          <c:val>
            <c:numRef>
              <c:f>Timeline!$H$6:$H$13</c:f>
              <c:numCache>
                <c:formatCode>General</c:formatCode>
                <c:ptCount val="7"/>
                <c:pt idx="0">
                  <c:v>16123</c:v>
                </c:pt>
                <c:pt idx="1">
                  <c:v>13140</c:v>
                </c:pt>
                <c:pt idx="2">
                  <c:v>6542</c:v>
                </c:pt>
                <c:pt idx="3">
                  <c:v>6749</c:v>
                </c:pt>
                <c:pt idx="4">
                  <c:v>20633</c:v>
                </c:pt>
                <c:pt idx="5">
                  <c:v>31387</c:v>
                </c:pt>
                <c:pt idx="6">
                  <c:v>4400</c:v>
                </c:pt>
              </c:numCache>
            </c:numRef>
          </c:val>
          <c:extLst>
            <c:ext xmlns:c16="http://schemas.microsoft.com/office/drawing/2014/chart" uri="{C3380CC4-5D6E-409C-BE32-E72D297353CC}">
              <c16:uniqueId val="{00000025-F2B7-4A62-ADF8-DEAE7EFA8F38}"/>
            </c:ext>
          </c:extLst>
        </c:ser>
        <c:ser>
          <c:idx val="7"/>
          <c:order val="7"/>
          <c:tx>
            <c:strRef>
              <c:f>Timeline!$I$3:$I$5</c:f>
              <c:strCache>
                <c:ptCount val="1"/>
                <c:pt idx="0">
                  <c:v>Aug</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Pt>
            <c:idx val="6"/>
            <c:bubble3D val="0"/>
            <c:spPr>
              <a:solidFill>
                <a:schemeClr val="accent1">
                  <a:lumMod val="60000"/>
                </a:schemeClr>
              </a:solidFill>
              <a:ln>
                <a:noFill/>
              </a:ln>
              <a:effectLst/>
            </c:spPr>
          </c:dPt>
          <c:cat>
            <c:strRef>
              <c:f>Timeline!$A$6:$A$13</c:f>
              <c:strCache>
                <c:ptCount val="7"/>
                <c:pt idx="0">
                  <c:v>Austria</c:v>
                </c:pt>
                <c:pt idx="1">
                  <c:v>Belgium</c:v>
                </c:pt>
                <c:pt idx="2">
                  <c:v>Denmark</c:v>
                </c:pt>
                <c:pt idx="3">
                  <c:v>France</c:v>
                </c:pt>
                <c:pt idx="4">
                  <c:v>Germany</c:v>
                </c:pt>
                <c:pt idx="5">
                  <c:v>India</c:v>
                </c:pt>
                <c:pt idx="6">
                  <c:v>Spain</c:v>
                </c:pt>
              </c:strCache>
            </c:strRef>
          </c:cat>
          <c:val>
            <c:numRef>
              <c:f>Timeline!$I$6:$I$13</c:f>
              <c:numCache>
                <c:formatCode>General</c:formatCode>
                <c:ptCount val="7"/>
                <c:pt idx="0">
                  <c:v>12795</c:v>
                </c:pt>
                <c:pt idx="1">
                  <c:v>6094</c:v>
                </c:pt>
                <c:pt idx="2">
                  <c:v>11426</c:v>
                </c:pt>
                <c:pt idx="3">
                  <c:v>3149</c:v>
                </c:pt>
                <c:pt idx="4">
                  <c:v>35231</c:v>
                </c:pt>
                <c:pt idx="5">
                  <c:v>22817</c:v>
                </c:pt>
                <c:pt idx="6">
                  <c:v>4908</c:v>
                </c:pt>
              </c:numCache>
            </c:numRef>
          </c:val>
          <c:extLst>
            <c:ext xmlns:c16="http://schemas.microsoft.com/office/drawing/2014/chart" uri="{C3380CC4-5D6E-409C-BE32-E72D297353CC}">
              <c16:uniqueId val="{00000026-F2B7-4A62-ADF8-DEAE7EFA8F38}"/>
            </c:ext>
          </c:extLst>
        </c:ser>
        <c:ser>
          <c:idx val="8"/>
          <c:order val="8"/>
          <c:tx>
            <c:strRef>
              <c:f>Timeline!$J$3:$J$5</c:f>
              <c:strCache>
                <c:ptCount val="1"/>
                <c:pt idx="0">
                  <c:v>Sep</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Pt>
            <c:idx val="6"/>
            <c:bubble3D val="0"/>
            <c:spPr>
              <a:solidFill>
                <a:schemeClr val="accent1">
                  <a:lumMod val="60000"/>
                </a:schemeClr>
              </a:solidFill>
              <a:ln>
                <a:noFill/>
              </a:ln>
              <a:effectLst/>
            </c:spPr>
          </c:dPt>
          <c:cat>
            <c:strRef>
              <c:f>Timeline!$A$6:$A$13</c:f>
              <c:strCache>
                <c:ptCount val="7"/>
                <c:pt idx="0">
                  <c:v>Austria</c:v>
                </c:pt>
                <c:pt idx="1">
                  <c:v>Belgium</c:v>
                </c:pt>
                <c:pt idx="2">
                  <c:v>Denmark</c:v>
                </c:pt>
                <c:pt idx="3">
                  <c:v>France</c:v>
                </c:pt>
                <c:pt idx="4">
                  <c:v>Germany</c:v>
                </c:pt>
                <c:pt idx="5">
                  <c:v>India</c:v>
                </c:pt>
                <c:pt idx="6">
                  <c:v>Spain</c:v>
                </c:pt>
              </c:strCache>
            </c:strRef>
          </c:cat>
          <c:val>
            <c:numRef>
              <c:f>Timeline!$J$6:$J$13</c:f>
              <c:numCache>
                <c:formatCode>General</c:formatCode>
                <c:ptCount val="7"/>
                <c:pt idx="0">
                  <c:v>9390</c:v>
                </c:pt>
                <c:pt idx="1">
                  <c:v>13140</c:v>
                </c:pt>
                <c:pt idx="2">
                  <c:v>6542</c:v>
                </c:pt>
                <c:pt idx="3">
                  <c:v>6749</c:v>
                </c:pt>
                <c:pt idx="4">
                  <c:v>20633</c:v>
                </c:pt>
                <c:pt idx="5">
                  <c:v>34522</c:v>
                </c:pt>
                <c:pt idx="6">
                  <c:v>4400</c:v>
                </c:pt>
              </c:numCache>
            </c:numRef>
          </c:val>
          <c:extLst>
            <c:ext xmlns:c16="http://schemas.microsoft.com/office/drawing/2014/chart" uri="{C3380CC4-5D6E-409C-BE32-E72D297353CC}">
              <c16:uniqueId val="{00000027-F2B7-4A62-ADF8-DEAE7EFA8F38}"/>
            </c:ext>
          </c:extLst>
        </c:ser>
        <c:ser>
          <c:idx val="9"/>
          <c:order val="9"/>
          <c:tx>
            <c:strRef>
              <c:f>Timeline!$K$3:$K$5</c:f>
              <c:strCache>
                <c:ptCount val="1"/>
                <c:pt idx="0">
                  <c:v>Oct</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Pt>
            <c:idx val="6"/>
            <c:bubble3D val="0"/>
            <c:spPr>
              <a:solidFill>
                <a:schemeClr val="accent1">
                  <a:lumMod val="60000"/>
                </a:schemeClr>
              </a:solidFill>
              <a:ln>
                <a:noFill/>
              </a:ln>
              <a:effectLst/>
            </c:spPr>
          </c:dPt>
          <c:cat>
            <c:strRef>
              <c:f>Timeline!$A$6:$A$13</c:f>
              <c:strCache>
                <c:ptCount val="7"/>
                <c:pt idx="0">
                  <c:v>Austria</c:v>
                </c:pt>
                <c:pt idx="1">
                  <c:v>Belgium</c:v>
                </c:pt>
                <c:pt idx="2">
                  <c:v>Denmark</c:v>
                </c:pt>
                <c:pt idx="3">
                  <c:v>France</c:v>
                </c:pt>
                <c:pt idx="4">
                  <c:v>Germany</c:v>
                </c:pt>
                <c:pt idx="5">
                  <c:v>India</c:v>
                </c:pt>
                <c:pt idx="6">
                  <c:v>Spain</c:v>
                </c:pt>
              </c:strCache>
            </c:strRef>
          </c:cat>
          <c:val>
            <c:numRef>
              <c:f>Timeline!$K$6:$K$13</c:f>
              <c:numCache>
                <c:formatCode>General</c:formatCode>
                <c:ptCount val="7"/>
                <c:pt idx="0">
                  <c:v>19528</c:v>
                </c:pt>
                <c:pt idx="1">
                  <c:v>6094</c:v>
                </c:pt>
                <c:pt idx="2">
                  <c:v>8525</c:v>
                </c:pt>
                <c:pt idx="3">
                  <c:v>3149</c:v>
                </c:pt>
                <c:pt idx="4">
                  <c:v>35231</c:v>
                </c:pt>
                <c:pt idx="5">
                  <c:v>19033</c:v>
                </c:pt>
                <c:pt idx="6">
                  <c:v>4908</c:v>
                </c:pt>
              </c:numCache>
            </c:numRef>
          </c:val>
          <c:extLst>
            <c:ext xmlns:c16="http://schemas.microsoft.com/office/drawing/2014/chart" uri="{C3380CC4-5D6E-409C-BE32-E72D297353CC}">
              <c16:uniqueId val="{00000028-F2B7-4A62-ADF8-DEAE7EFA8F38}"/>
            </c:ext>
          </c:extLst>
        </c:ser>
        <c:ser>
          <c:idx val="10"/>
          <c:order val="10"/>
          <c:tx>
            <c:strRef>
              <c:f>Timeline!$L$3:$L$5</c:f>
              <c:strCache>
                <c:ptCount val="1"/>
                <c:pt idx="0">
                  <c:v>Nov</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Pt>
            <c:idx val="6"/>
            <c:bubble3D val="0"/>
            <c:spPr>
              <a:solidFill>
                <a:schemeClr val="accent1">
                  <a:lumMod val="60000"/>
                </a:schemeClr>
              </a:solidFill>
              <a:ln>
                <a:noFill/>
              </a:ln>
              <a:effectLst/>
            </c:spPr>
          </c:dPt>
          <c:cat>
            <c:strRef>
              <c:f>Timeline!$A$6:$A$13</c:f>
              <c:strCache>
                <c:ptCount val="7"/>
                <c:pt idx="0">
                  <c:v>Austria</c:v>
                </c:pt>
                <c:pt idx="1">
                  <c:v>Belgium</c:v>
                </c:pt>
                <c:pt idx="2">
                  <c:v>Denmark</c:v>
                </c:pt>
                <c:pt idx="3">
                  <c:v>France</c:v>
                </c:pt>
                <c:pt idx="4">
                  <c:v>Germany</c:v>
                </c:pt>
                <c:pt idx="5">
                  <c:v>India</c:v>
                </c:pt>
                <c:pt idx="6">
                  <c:v>Spain</c:v>
                </c:pt>
              </c:strCache>
            </c:strRef>
          </c:cat>
          <c:val>
            <c:numRef>
              <c:f>Timeline!$L$6:$L$13</c:f>
              <c:numCache>
                <c:formatCode>General</c:formatCode>
                <c:ptCount val="7"/>
                <c:pt idx="0">
                  <c:v>9390</c:v>
                </c:pt>
                <c:pt idx="1">
                  <c:v>13140</c:v>
                </c:pt>
                <c:pt idx="2">
                  <c:v>9443</c:v>
                </c:pt>
                <c:pt idx="3">
                  <c:v>6749</c:v>
                </c:pt>
                <c:pt idx="4">
                  <c:v>20633</c:v>
                </c:pt>
                <c:pt idx="5">
                  <c:v>33234</c:v>
                </c:pt>
                <c:pt idx="6">
                  <c:v>4400</c:v>
                </c:pt>
              </c:numCache>
            </c:numRef>
          </c:val>
          <c:extLst>
            <c:ext xmlns:c16="http://schemas.microsoft.com/office/drawing/2014/chart" uri="{C3380CC4-5D6E-409C-BE32-E72D297353CC}">
              <c16:uniqueId val="{00000029-F2B7-4A62-ADF8-DEAE7EFA8F38}"/>
            </c:ext>
          </c:extLst>
        </c:ser>
        <c:ser>
          <c:idx val="11"/>
          <c:order val="11"/>
          <c:tx>
            <c:strRef>
              <c:f>Timeline!$M$3:$M$5</c:f>
              <c:strCache>
                <c:ptCount val="1"/>
                <c:pt idx="0">
                  <c:v>Dec</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Pt>
            <c:idx val="6"/>
            <c:bubble3D val="0"/>
            <c:spPr>
              <a:solidFill>
                <a:schemeClr val="accent1">
                  <a:lumMod val="60000"/>
                </a:schemeClr>
              </a:solidFill>
              <a:ln>
                <a:noFill/>
              </a:ln>
              <a:effectLst/>
            </c:spPr>
          </c:dPt>
          <c:cat>
            <c:strRef>
              <c:f>Timeline!$A$6:$A$13</c:f>
              <c:strCache>
                <c:ptCount val="7"/>
                <c:pt idx="0">
                  <c:v>Austria</c:v>
                </c:pt>
                <c:pt idx="1">
                  <c:v>Belgium</c:v>
                </c:pt>
                <c:pt idx="2">
                  <c:v>Denmark</c:v>
                </c:pt>
                <c:pt idx="3">
                  <c:v>France</c:v>
                </c:pt>
                <c:pt idx="4">
                  <c:v>Germany</c:v>
                </c:pt>
                <c:pt idx="5">
                  <c:v>India</c:v>
                </c:pt>
                <c:pt idx="6">
                  <c:v>Spain</c:v>
                </c:pt>
              </c:strCache>
            </c:strRef>
          </c:cat>
          <c:val>
            <c:numRef>
              <c:f>Timeline!$M$6:$M$13</c:f>
              <c:numCache>
                <c:formatCode>General</c:formatCode>
                <c:ptCount val="7"/>
                <c:pt idx="0">
                  <c:v>19528</c:v>
                </c:pt>
                <c:pt idx="1">
                  <c:v>6094</c:v>
                </c:pt>
                <c:pt idx="2">
                  <c:v>6391</c:v>
                </c:pt>
                <c:pt idx="3">
                  <c:v>3149</c:v>
                </c:pt>
                <c:pt idx="4">
                  <c:v>35231</c:v>
                </c:pt>
                <c:pt idx="5">
                  <c:v>24105</c:v>
                </c:pt>
                <c:pt idx="6">
                  <c:v>2247</c:v>
                </c:pt>
              </c:numCache>
            </c:numRef>
          </c:val>
          <c:extLst>
            <c:ext xmlns:c16="http://schemas.microsoft.com/office/drawing/2014/chart" uri="{C3380CC4-5D6E-409C-BE32-E72D297353CC}">
              <c16:uniqueId val="{0000002A-F2B7-4A62-ADF8-DEAE7EFA8F3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15</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xdr:colOff>
      <xdr:row>2</xdr:row>
      <xdr:rowOff>180975</xdr:rowOff>
    </xdr:from>
    <xdr:to>
      <xdr:col>5</xdr:col>
      <xdr:colOff>19050</xdr:colOff>
      <xdr:row>15</xdr:row>
      <xdr:rowOff>19050</xdr:rowOff>
    </xdr:to>
    <mc:AlternateContent xmlns:mc="http://schemas.openxmlformats.org/markup-compatibility/2006">
      <mc:Choice xmlns:a14="http://schemas.microsoft.com/office/drawing/2010/main" Requires="a14">
        <xdr:graphicFrame macro="">
          <xdr:nvGraphicFramePr>
            <xdr:cNvPr id="2" name="Country"/>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2352675" y="561975"/>
              <a:ext cx="1828800" cy="2314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133350</xdr:rowOff>
    </xdr:from>
    <xdr:to>
      <xdr:col>5</xdr:col>
      <xdr:colOff>19049</xdr:colOff>
      <xdr:row>3</xdr:row>
      <xdr:rowOff>9525</xdr:rowOff>
    </xdr:to>
    <mc:AlternateContent xmlns:mc="http://schemas.openxmlformats.org/markup-compatibility/2006">
      <mc:Choice xmlns:a14="http://schemas.microsoft.com/office/drawing/2010/main" Requires="a14">
        <xdr:graphicFrame macro="">
          <xdr:nvGraphicFramePr>
            <xdr:cNvPr id="3"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0" y="133350"/>
              <a:ext cx="4181474" cy="447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28575</xdr:colOff>
      <xdr:row>1</xdr:row>
      <xdr:rowOff>171450</xdr:rowOff>
    </xdr:from>
    <xdr:to>
      <xdr:col>23</xdr:col>
      <xdr:colOff>381000</xdr:colOff>
      <xdr:row>16</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400049</xdr:colOff>
      <xdr:row>14</xdr:row>
      <xdr:rowOff>9525</xdr:rowOff>
    </xdr:from>
    <xdr:to>
      <xdr:col>4</xdr:col>
      <xdr:colOff>381000</xdr:colOff>
      <xdr:row>19</xdr:row>
      <xdr:rowOff>180975</xdr:rowOff>
    </xdr:to>
    <mc:AlternateContent xmlns:mc="http://schemas.openxmlformats.org/markup-compatibility/2006">
      <mc:Choice xmlns:tsle="http://schemas.microsoft.com/office/drawing/2012/timeslicer" Requires="tsle">
        <xdr:graphicFrame macro="">
          <xdr:nvGraphicFramePr>
            <xdr:cNvPr id="3" name="Order Date"/>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400049" y="2676525"/>
              <a:ext cx="2819401" cy="1123950"/>
            </a:xfrm>
            <a:prstGeom prst="rect">
              <a:avLst/>
            </a:prstGeom>
            <a:solidFill>
              <a:prstClr val="white"/>
            </a:solidFill>
            <a:ln w="1">
              <a:solidFill>
                <a:prstClr val="green"/>
              </a:solidFill>
            </a:ln>
          </xdr:spPr>
          <xdr:txBody>
            <a:bodyPr vertOverflow="clip" horzOverflow="clip"/>
            <a:lstStyle/>
            <a:p>
              <a:r>
                <a:rPr lang="en-US" sz="1100"/>
                <a:t>Timeline: Works in Excel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Dell" refreshedDate="46255.167228703707" createdVersion="6" refreshedVersion="6" minRefreshableVersion="3" recordCount="365">
  <cacheSource type="worksheet">
    <worksheetSource ref="A1:I366" sheet="Pivot Table Data"/>
  </cacheSource>
  <cacheFields count="10">
    <cacheField name="Order ID" numFmtId="0">
      <sharedItems/>
    </cacheField>
    <cacheField name="Order Date" numFmtId="14">
      <sharedItems containsSemiMixedTypes="0" containsNonDate="0" containsDate="1" containsString="0" minDate="2018-01-01T00:00:00" maxDate="2019-01-01T00:00:00" count="365">
        <d v="2018-01-01T00:00:00"/>
        <d v="2018-01-02T00:00:00"/>
        <d v="2018-01-03T00:00:00"/>
        <d v="2018-01-04T00:00:00"/>
        <d v="2018-01-05T00:00:00"/>
        <d v="2018-01-06T00:00:00"/>
        <d v="2018-01-07T00:00:00"/>
        <d v="2018-01-08T00:00:00"/>
        <d v="2018-01-09T00:00:00"/>
        <d v="2018-01-10T00:00:00"/>
        <d v="2018-01-11T00:00:00"/>
        <d v="2018-01-12T00:00:00"/>
        <d v="2018-01-13T00:00:00"/>
        <d v="2018-01-14T00:00:00"/>
        <d v="2018-01-15T00:00:00"/>
        <d v="2018-01-16T00:00:00"/>
        <d v="2018-01-17T00:00:00"/>
        <d v="2018-01-18T00:00:00"/>
        <d v="2018-01-19T00:00:00"/>
        <d v="2018-01-20T00:00:00"/>
        <d v="2018-01-21T00:00:00"/>
        <d v="2018-01-22T00:00:00"/>
        <d v="2018-01-23T00:00:00"/>
        <d v="2018-01-24T00:00:00"/>
        <d v="2018-01-25T00:00:00"/>
        <d v="2018-01-26T00:00:00"/>
        <d v="2018-01-27T00:00:00"/>
        <d v="2018-01-28T00:00:00"/>
        <d v="2018-01-29T00:00:00"/>
        <d v="2018-01-30T00:00:00"/>
        <d v="2018-01-31T00:00:00"/>
        <d v="2018-02-01T00:00:00"/>
        <d v="2018-02-02T00:00:00"/>
        <d v="2018-02-03T00:00:00"/>
        <d v="2018-02-04T00:00:00"/>
        <d v="2018-02-05T00:00:00"/>
        <d v="2018-02-06T00:00:00"/>
        <d v="2018-02-07T00:00:00"/>
        <d v="2018-02-08T00:00:00"/>
        <d v="2018-02-09T00:00:00"/>
        <d v="2018-02-10T00:00:00"/>
        <d v="2018-02-11T00:00:00"/>
        <d v="2018-02-12T00:00:00"/>
        <d v="2018-02-13T00:00:00"/>
        <d v="2018-02-14T00:00:00"/>
        <d v="2018-02-15T00:00:00"/>
        <d v="2018-02-16T00:00:00"/>
        <d v="2018-02-17T00:00:00"/>
        <d v="2018-02-18T00:00:00"/>
        <d v="2018-02-19T00:00:00"/>
        <d v="2018-02-20T00:00:00"/>
        <d v="2018-02-21T00:00:00"/>
        <d v="2018-02-22T00:00:00"/>
        <d v="2018-02-23T00:00:00"/>
        <d v="2018-02-24T00:00:00"/>
        <d v="2018-02-25T00:00:00"/>
        <d v="2018-02-26T00:00:00"/>
        <d v="2018-02-27T00:00:00"/>
        <d v="2018-02-28T00:00:00"/>
        <d v="2018-03-01T00:00:00"/>
        <d v="2018-03-02T00:00:00"/>
        <d v="2018-03-03T00:00:00"/>
        <d v="2018-03-04T00:00:00"/>
        <d v="2018-03-05T00:00:00"/>
        <d v="2018-03-06T00:00:00"/>
        <d v="2018-03-07T00:00:00"/>
        <d v="2018-03-08T00:00:00"/>
        <d v="2018-03-09T00:00:00"/>
        <d v="2018-03-10T00:00:00"/>
        <d v="2018-03-11T00:00:00"/>
        <d v="2018-03-12T00:00:00"/>
        <d v="2018-03-13T00:00:00"/>
        <d v="2018-03-14T00:00:00"/>
        <d v="2018-03-15T00:00:00"/>
        <d v="2018-03-16T00:00:00"/>
        <d v="2018-03-17T00:00:00"/>
        <d v="2018-03-18T00:00:00"/>
        <d v="2018-03-19T00:00:00"/>
        <d v="2018-03-20T00:00:00"/>
        <d v="2018-03-21T00:00:00"/>
        <d v="2018-03-22T00:00:00"/>
        <d v="2018-03-23T00:00:00"/>
        <d v="2018-03-24T00:00:00"/>
        <d v="2018-03-25T00:00:00"/>
        <d v="2018-03-26T00:00:00"/>
        <d v="2018-03-27T00:00:00"/>
        <d v="2018-03-28T00:00:00"/>
        <d v="2018-03-29T00:00:00"/>
        <d v="2018-03-30T00:00:00"/>
        <d v="2018-03-31T00:00:00"/>
        <d v="2018-04-01T00:00:00"/>
        <d v="2018-04-02T00:00:00"/>
        <d v="2018-04-03T00:00:00"/>
        <d v="2018-04-04T00:00:00"/>
        <d v="2018-04-05T00:00:00"/>
        <d v="2018-04-06T00:00:00"/>
        <d v="2018-04-07T00:00:00"/>
        <d v="2018-04-08T00:00:00"/>
        <d v="2018-04-09T00:00:00"/>
        <d v="2018-04-10T00:00:00"/>
        <d v="2018-04-11T00:00:00"/>
        <d v="2018-04-12T00:00:00"/>
        <d v="2018-04-13T00:00:00"/>
        <d v="2018-04-14T00:00:00"/>
        <d v="2018-04-15T00:00:00"/>
        <d v="2018-04-16T00:00:00"/>
        <d v="2018-04-17T00:00:00"/>
        <d v="2018-04-18T00:00:00"/>
        <d v="2018-04-19T00:00:00"/>
        <d v="2018-04-20T00:00:00"/>
        <d v="2018-04-21T00:00:00"/>
        <d v="2018-04-22T00:00:00"/>
        <d v="2018-04-23T00:00:00"/>
        <d v="2018-04-24T00:00:00"/>
        <d v="2018-04-25T00:00:00"/>
        <d v="2018-04-26T00:00:00"/>
        <d v="2018-04-27T00:00:00"/>
        <d v="2018-04-28T00:00:00"/>
        <d v="2018-04-29T00:00:00"/>
        <d v="2018-04-30T00:00:00"/>
        <d v="2018-05-01T00:00:00"/>
        <d v="2018-05-02T00:00:00"/>
        <d v="2018-05-03T00:00:00"/>
        <d v="2018-05-04T00:00:00"/>
        <d v="2018-05-05T00:00:00"/>
        <d v="2018-05-06T00:00:00"/>
        <d v="2018-05-07T00:00:00"/>
        <d v="2018-05-08T00:00:00"/>
        <d v="2018-05-09T00:00:00"/>
        <d v="2018-05-10T00:00:00"/>
        <d v="2018-05-11T00:00:00"/>
        <d v="2018-05-12T00:00:00"/>
        <d v="2018-05-13T00:00:00"/>
        <d v="2018-05-14T00:00:00"/>
        <d v="2018-05-15T00:00:00"/>
        <d v="2018-05-16T00:00:00"/>
        <d v="2018-05-17T00:00:00"/>
        <d v="2018-05-18T00:00:00"/>
        <d v="2018-05-19T00:00:00"/>
        <d v="2018-05-20T00:00:00"/>
        <d v="2018-05-21T00:00:00"/>
        <d v="2018-05-22T00:00:00"/>
        <d v="2018-05-23T00:00:00"/>
        <d v="2018-05-24T00:00:00"/>
        <d v="2018-05-25T00:00:00"/>
        <d v="2018-05-26T00:00:00"/>
        <d v="2018-05-27T00:00:00"/>
        <d v="2018-05-28T00:00:00"/>
        <d v="2018-05-29T00:00:00"/>
        <d v="2018-05-30T00:00:00"/>
        <d v="2018-05-31T00:00:00"/>
        <d v="2018-06-01T00:00:00"/>
        <d v="2018-06-02T00:00:00"/>
        <d v="2018-06-03T00:00:00"/>
        <d v="2018-06-04T00:00:00"/>
        <d v="2018-06-05T00:00:00"/>
        <d v="2018-06-06T00:00:00"/>
        <d v="2018-06-07T00:00:00"/>
        <d v="2018-06-08T00:00:00"/>
        <d v="2018-06-09T00:00:00"/>
        <d v="2018-06-10T00:00:00"/>
        <d v="2018-06-11T00:00:00"/>
        <d v="2018-06-12T00:00:00"/>
        <d v="2018-06-13T00:00:00"/>
        <d v="2018-06-14T00:00:00"/>
        <d v="2018-06-15T00:00:00"/>
        <d v="2018-06-16T00:00:00"/>
        <d v="2018-06-17T00:00:00"/>
        <d v="2018-06-18T00:00:00"/>
        <d v="2018-06-19T00:00:00"/>
        <d v="2018-06-20T00:00:00"/>
        <d v="2018-06-21T00:00:00"/>
        <d v="2018-06-22T00:00:00"/>
        <d v="2018-06-23T00:00:00"/>
        <d v="2018-06-24T00:00:00"/>
        <d v="2018-06-25T00:00:00"/>
        <d v="2018-06-26T00:00:00"/>
        <d v="2018-06-27T00:00:00"/>
        <d v="2018-06-28T00:00:00"/>
        <d v="2018-06-29T00:00:00"/>
        <d v="2018-06-30T00:00:00"/>
        <d v="2018-07-01T00:00:00"/>
        <d v="2018-07-02T00:00:00"/>
        <d v="2018-07-03T00:00:00"/>
        <d v="2018-07-04T00:00:00"/>
        <d v="2018-07-05T00:00:00"/>
        <d v="2018-07-06T00:00:00"/>
        <d v="2018-07-07T00:00:00"/>
        <d v="2018-07-08T00:00:00"/>
        <d v="2018-07-09T00:00:00"/>
        <d v="2018-07-10T00:00:00"/>
        <d v="2018-07-11T00:00:00"/>
        <d v="2018-07-12T00:00:00"/>
        <d v="2018-07-13T00:00:00"/>
        <d v="2018-07-14T00:00:00"/>
        <d v="2018-07-15T00:00:00"/>
        <d v="2018-07-16T00:00:00"/>
        <d v="2018-07-17T00:00:00"/>
        <d v="2018-07-18T00:00:00"/>
        <d v="2018-07-19T00:00:00"/>
        <d v="2018-07-20T00:00:00"/>
        <d v="2018-07-21T00:00:00"/>
        <d v="2018-07-22T00:00:00"/>
        <d v="2018-07-23T00:00:00"/>
        <d v="2018-07-24T00:00:00"/>
        <d v="2018-07-25T00:00:00"/>
        <d v="2018-07-26T00:00:00"/>
        <d v="2018-07-27T00:00:00"/>
        <d v="2018-07-28T00:00:00"/>
        <d v="2018-07-29T00:00:00"/>
        <d v="2018-07-30T00:00:00"/>
        <d v="2018-07-31T00:00:00"/>
        <d v="2018-08-01T00:00:00"/>
        <d v="2018-08-02T00:00:00"/>
        <d v="2018-08-03T00:00:00"/>
        <d v="2018-08-04T00:00:00"/>
        <d v="2018-08-05T00:00:00"/>
        <d v="2018-08-06T00:00:00"/>
        <d v="2018-08-07T00:00:00"/>
        <d v="2018-08-08T00:00:00"/>
        <d v="2018-08-09T00:00:00"/>
        <d v="2018-08-10T00:00:00"/>
        <d v="2018-08-11T00:00:00"/>
        <d v="2018-08-12T00:00:00"/>
        <d v="2018-08-13T00:00:00"/>
        <d v="2018-08-14T00:00:00"/>
        <d v="2018-08-15T00:00:00"/>
        <d v="2018-08-16T00:00:00"/>
        <d v="2018-08-17T00:00:00"/>
        <d v="2018-08-18T00:00:00"/>
        <d v="2018-08-19T00:00:00"/>
        <d v="2018-08-20T00:00:00"/>
        <d v="2018-08-21T00:00:00"/>
        <d v="2018-08-22T00:00:00"/>
        <d v="2018-08-23T00:00:00"/>
        <d v="2018-08-24T00:00:00"/>
        <d v="2018-08-25T00:00:00"/>
        <d v="2018-08-26T00:00:00"/>
        <d v="2018-08-27T00:00:00"/>
        <d v="2018-08-28T00:00:00"/>
        <d v="2018-08-29T00:00:00"/>
        <d v="2018-08-30T00:00:00"/>
        <d v="2018-08-31T00:00:00"/>
        <d v="2018-09-01T00:00:00"/>
        <d v="2018-09-02T00:00:00"/>
        <d v="2018-09-03T00:00:00"/>
        <d v="2018-09-04T00:00:00"/>
        <d v="2018-09-05T00:00:00"/>
        <d v="2018-09-06T00:00:00"/>
        <d v="2018-09-07T00:00:00"/>
        <d v="2018-09-08T00:00:00"/>
        <d v="2018-09-09T00:00:00"/>
        <d v="2018-09-10T00:00:00"/>
        <d v="2018-09-11T00:00:00"/>
        <d v="2018-09-12T00:00:00"/>
        <d v="2018-09-13T00:00:00"/>
        <d v="2018-09-14T00:00:00"/>
        <d v="2018-09-15T00:00:00"/>
        <d v="2018-09-16T00:00:00"/>
        <d v="2018-09-17T00:00:00"/>
        <d v="2018-09-18T00:00:00"/>
        <d v="2018-09-19T00:00:00"/>
        <d v="2018-09-20T00:00:00"/>
        <d v="2018-09-21T00:00:00"/>
        <d v="2018-09-22T00:00:00"/>
        <d v="2018-09-23T00:00:00"/>
        <d v="2018-09-24T00:00:00"/>
        <d v="2018-09-25T00:00:00"/>
        <d v="2018-09-26T00:00:00"/>
        <d v="2018-09-27T00:00:00"/>
        <d v="2018-09-28T00:00:00"/>
        <d v="2018-09-29T00:00:00"/>
        <d v="2018-09-30T00:00:00"/>
        <d v="2018-10-01T00:00:00"/>
        <d v="2018-10-02T00:00:00"/>
        <d v="2018-10-03T00:00:00"/>
        <d v="2018-10-04T00:00:00"/>
        <d v="2018-10-05T00:00:00"/>
        <d v="2018-10-06T00:00:00"/>
        <d v="2018-10-07T00:00:00"/>
        <d v="2018-10-08T00:00:00"/>
        <d v="2018-10-09T00:00:00"/>
        <d v="2018-10-10T00:00:00"/>
        <d v="2018-10-11T00:00:00"/>
        <d v="2018-10-12T00:00:00"/>
        <d v="2018-10-13T00:00:00"/>
        <d v="2018-10-14T00:00:00"/>
        <d v="2018-10-15T00:00:00"/>
        <d v="2018-10-16T00:00:00"/>
        <d v="2018-10-17T00:00:00"/>
        <d v="2018-10-18T00:00:00"/>
        <d v="2018-10-19T00:00:00"/>
        <d v="2018-10-20T00:00:00"/>
        <d v="2018-10-21T00:00:00"/>
        <d v="2018-10-22T00:00:00"/>
        <d v="2018-10-23T00:00:00"/>
        <d v="2018-10-24T00:00:00"/>
        <d v="2018-10-25T00:00:00"/>
        <d v="2018-10-26T00:00:00"/>
        <d v="2018-10-27T00:00:00"/>
        <d v="2018-10-28T00:00:00"/>
        <d v="2018-10-29T00:00:00"/>
        <d v="2018-10-30T00:00:00"/>
        <d v="2018-10-31T00:00:00"/>
        <d v="2018-11-01T00:00:00"/>
        <d v="2018-11-02T00:00:00"/>
        <d v="2018-11-03T00:00:00"/>
        <d v="2018-11-04T00:00:00"/>
        <d v="2018-11-05T00:00:00"/>
        <d v="2018-11-06T00:00:00"/>
        <d v="2018-11-07T00:00:00"/>
        <d v="2018-11-08T00:00:00"/>
        <d v="2018-11-09T00:00:00"/>
        <d v="2018-11-10T00:00:00"/>
        <d v="2018-11-11T00:00:00"/>
        <d v="2018-11-12T00:00:00"/>
        <d v="2018-11-13T00:00:00"/>
        <d v="2018-11-14T00:00:00"/>
        <d v="2018-11-15T00:00:00"/>
        <d v="2018-11-16T00:00:00"/>
        <d v="2018-11-17T00:00:00"/>
        <d v="2018-11-18T00:00:00"/>
        <d v="2018-11-19T00:00:00"/>
        <d v="2018-11-20T00:00:00"/>
        <d v="2018-11-21T00:00:00"/>
        <d v="2018-11-22T00:00:00"/>
        <d v="2018-11-23T00:00:00"/>
        <d v="2018-11-24T00:00:00"/>
        <d v="2018-11-25T00:00:00"/>
        <d v="2018-11-26T00:00:00"/>
        <d v="2018-11-27T00:00:00"/>
        <d v="2018-11-28T00:00:00"/>
        <d v="2018-11-29T00:00:00"/>
        <d v="2018-11-30T00:00:00"/>
        <d v="2018-12-01T00:00:00"/>
        <d v="2018-12-02T00:00:00"/>
        <d v="2018-12-03T00:00:00"/>
        <d v="2018-12-04T00:00:00"/>
        <d v="2018-12-05T00:00:00"/>
        <d v="2018-12-06T00:00:00"/>
        <d v="2018-12-07T00:00:00"/>
        <d v="2018-12-08T00:00:00"/>
        <d v="2018-12-09T00:00:00"/>
        <d v="2018-12-10T00:00:00"/>
        <d v="2018-12-11T00:00:00"/>
        <d v="2018-12-12T00:00:00"/>
        <d v="2018-12-13T00:00:00"/>
        <d v="2018-12-14T00:00:00"/>
        <d v="2018-12-15T00:00:00"/>
        <d v="2018-12-16T00:00:00"/>
        <d v="2018-12-17T00:00:00"/>
        <d v="2018-12-18T00:00:00"/>
        <d v="2018-12-19T00:00:00"/>
        <d v="2018-12-20T00:00:00"/>
        <d v="2018-12-21T00:00:00"/>
        <d v="2018-12-22T00:00:00"/>
        <d v="2018-12-23T00:00:00"/>
        <d v="2018-12-24T00:00:00"/>
        <d v="2018-12-25T00:00:00"/>
        <d v="2018-12-26T00:00:00"/>
        <d v="2018-12-27T00:00:00"/>
        <d v="2018-12-28T00:00:00"/>
        <d v="2018-12-29T00:00:00"/>
        <d v="2018-12-30T00:00:00"/>
        <d v="2018-12-31T00:00:00"/>
      </sharedItems>
      <fieldGroup par="9" base="1">
        <rangePr groupBy="days" startDate="2018-01-01T00:00:00" endDate="2019-01-01T00:00:00"/>
        <groupItems count="368">
          <s v="&lt;1/1/2018"/>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19"/>
        </groupItems>
      </fieldGroup>
    </cacheField>
    <cacheField name="Customer Name" numFmtId="0">
      <sharedItems/>
    </cacheField>
    <cacheField name="Country" numFmtId="0">
      <sharedItems count="7">
        <s v="Austria"/>
        <s v="Germany"/>
        <s v="Denmark"/>
        <s v="Spain"/>
        <s v="India"/>
        <s v="France"/>
        <s v="Belgium"/>
      </sharedItems>
    </cacheField>
    <cacheField name="State" numFmtId="0">
      <sharedItems count="10">
        <s v="Vienna"/>
        <s v="Lower Saxony"/>
        <s v="Hovedstaden"/>
        <s v="Valenciana"/>
        <s v="South Denmark"/>
        <s v="Maharashtra"/>
        <s v="Bihar"/>
        <s v="Ile-de-France"/>
        <s v="North Rhine-Westphalia"/>
        <s v="Flemish Brabant"/>
      </sharedItems>
    </cacheField>
    <cacheField name="City" numFmtId="0">
      <sharedItems/>
    </cacheField>
    <cacheField name="Region" numFmtId="0">
      <sharedItems count="3">
        <s v="Central"/>
        <s v="North"/>
        <s v="South"/>
      </sharedItems>
    </cacheField>
    <cacheField name="Sales" numFmtId="0">
      <sharedItems containsSemiMixedTypes="0" containsString="0" containsNumber="1" containsInteger="1" minValue="2102" maxValue="4473"/>
    </cacheField>
    <cacheField name="Profit" numFmtId="0">
      <sharedItems containsSemiMixedTypes="0" containsString="0" containsNumber="1" containsInteger="1" minValue="1325" maxValue="3446"/>
    </cacheField>
    <cacheField name="Months" numFmtId="0" databaseField="0">
      <fieldGroup base="1">
        <rangePr groupBy="months" startDate="2018-01-01T00:00:00" endDate="2019-01-01T00:00:00"/>
        <groupItems count="14">
          <s v="&lt;1/1/2018"/>
          <s v="Jan"/>
          <s v="Feb"/>
          <s v="Mar"/>
          <s v="Apr"/>
          <s v="May"/>
          <s v="Jun"/>
          <s v="Jul"/>
          <s v="Aug"/>
          <s v="Sep"/>
          <s v="Oct"/>
          <s v="Nov"/>
          <s v="Dec"/>
          <s v="&gt;1/1/2019"/>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365">
  <r>
    <s v="KL-2018-5607031"/>
    <x v="0"/>
    <s v="Lani Bowers"/>
    <x v="0"/>
    <x v="0"/>
    <s v="Vienna"/>
    <x v="0"/>
    <n v="2934"/>
    <n v="1819"/>
  </r>
  <r>
    <s v="KL-2018-5607032"/>
    <x v="1"/>
    <s v="Lana Adkins"/>
    <x v="0"/>
    <x v="0"/>
    <s v="Vienna"/>
    <x v="0"/>
    <n v="4354"/>
    <n v="2787"/>
  </r>
  <r>
    <s v="KL-2018-5607033"/>
    <x v="2"/>
    <s v="Sopoline Noel"/>
    <x v="0"/>
    <x v="0"/>
    <s v="Vienna"/>
    <x v="0"/>
    <n v="2102"/>
    <n v="1534"/>
  </r>
  <r>
    <s v="KL-2018-5607034"/>
    <x v="3"/>
    <s v="Abbot Horton"/>
    <x v="1"/>
    <x v="1"/>
    <s v="Langen"/>
    <x v="0"/>
    <n v="3261"/>
    <n v="2446"/>
  </r>
  <r>
    <s v="KL-2018-5607035"/>
    <x v="4"/>
    <s v="Hedda Livingston"/>
    <x v="1"/>
    <x v="1"/>
    <s v="Langen"/>
    <x v="0"/>
    <n v="2577"/>
    <n v="1907"/>
  </r>
  <r>
    <s v="KL-2018-5607036"/>
    <x v="5"/>
    <s v="Henry Hodges"/>
    <x v="1"/>
    <x v="1"/>
    <s v="Langen"/>
    <x v="0"/>
    <n v="3131"/>
    <n v="1973"/>
  </r>
  <r>
    <s v="KL-2018-5607037"/>
    <x v="6"/>
    <s v="Aristotle Barrett"/>
    <x v="1"/>
    <x v="1"/>
    <s v="Langen"/>
    <x v="0"/>
    <n v="2683"/>
    <n v="1798"/>
  </r>
  <r>
    <s v="KL-2018-5607038"/>
    <x v="7"/>
    <s v="Wendy Neal"/>
    <x v="1"/>
    <x v="1"/>
    <s v="Langen"/>
    <x v="0"/>
    <n v="2613"/>
    <n v="1751"/>
  </r>
  <r>
    <s v="KL-2018-5607039"/>
    <x v="8"/>
    <s v="Raymond Mckenzie"/>
    <x v="2"/>
    <x v="2"/>
    <s v="Copenhagen"/>
    <x v="1"/>
    <n v="4076"/>
    <n v="2609"/>
  </r>
  <r>
    <s v="KL-2018-5607040"/>
    <x v="9"/>
    <s v="Zephr Hickman"/>
    <x v="3"/>
    <x v="3"/>
    <s v="Gandia"/>
    <x v="2"/>
    <n v="4400"/>
    <n v="3432"/>
  </r>
  <r>
    <s v="KL-2018-5607041"/>
    <x v="10"/>
    <s v="Georgia Kane"/>
    <x v="2"/>
    <x v="4"/>
    <s v="Esbjerg"/>
    <x v="1"/>
    <n v="2466"/>
    <n v="1603"/>
  </r>
  <r>
    <s v="KL-2018-5607042"/>
    <x v="11"/>
    <s v="Stella Dejesus"/>
    <x v="4"/>
    <x v="5"/>
    <s v="Mumbai"/>
    <x v="2"/>
    <n v="2137"/>
    <n v="1325"/>
  </r>
  <r>
    <s v="KL-2018-5607043"/>
    <x v="12"/>
    <s v="Dahlia Porter"/>
    <x v="4"/>
    <x v="6"/>
    <s v="Patna"/>
    <x v="2"/>
    <n v="4216"/>
    <n v="3162"/>
  </r>
  <r>
    <s v="KL-2018-5607044"/>
    <x v="13"/>
    <s v="Ria Foster"/>
    <x v="4"/>
    <x v="6"/>
    <s v="Patna"/>
    <x v="2"/>
    <n v="3165"/>
    <n v="2310"/>
  </r>
  <r>
    <s v="KL-2018-5607045"/>
    <x v="14"/>
    <s v="Kiona Moore"/>
    <x v="5"/>
    <x v="7"/>
    <s v="Villiers-sur-Marne"/>
    <x v="0"/>
    <n v="3263"/>
    <n v="2545"/>
  </r>
  <r>
    <s v="KL-2018-5607046"/>
    <x v="15"/>
    <s v="Guinevere Sullivan"/>
    <x v="1"/>
    <x v="8"/>
    <s v="Bielefeld"/>
    <x v="0"/>
    <n v="2946"/>
    <n v="2210"/>
  </r>
  <r>
    <s v="KL-2018-5607047"/>
    <x v="16"/>
    <s v="Ingrid Barnes"/>
    <x v="6"/>
    <x v="9"/>
    <s v="Leuven"/>
    <x v="0"/>
    <n v="2989"/>
    <n v="2212"/>
  </r>
  <r>
    <s v="KL-2018-5607048"/>
    <x v="17"/>
    <s v="Quinlan Holcomb"/>
    <x v="6"/>
    <x v="9"/>
    <s v="Leuven"/>
    <x v="0"/>
    <n v="3463"/>
    <n v="2770"/>
  </r>
  <r>
    <s v="KL-2018-5607049"/>
    <x v="18"/>
    <s v="Blair Mccullough"/>
    <x v="4"/>
    <x v="5"/>
    <s v="Pune"/>
    <x v="2"/>
    <n v="2677"/>
    <n v="2088"/>
  </r>
  <r>
    <s v="KL-2018-5607050"/>
    <x v="19"/>
    <s v="Diana Guthrie"/>
    <x v="4"/>
    <x v="5"/>
    <s v="Pune"/>
    <x v="2"/>
    <n v="2966"/>
    <n v="1928"/>
  </r>
  <r>
    <s v="KL-2018-5607051"/>
    <x v="20"/>
    <s v="Neville Ashley"/>
    <x v="4"/>
    <x v="5"/>
    <s v="Pune"/>
    <x v="2"/>
    <n v="2106"/>
    <n v="1516"/>
  </r>
  <r>
    <s v="KL-2018-5607031"/>
    <x v="21"/>
    <s v="Lani Bowers"/>
    <x v="0"/>
    <x v="0"/>
    <s v="Vienna"/>
    <x v="0"/>
    <n v="3664"/>
    <n v="2272"/>
  </r>
  <r>
    <s v="KL-2018-5607032"/>
    <x v="22"/>
    <s v="Lana Adkins"/>
    <x v="0"/>
    <x v="0"/>
    <s v="Vienna"/>
    <x v="0"/>
    <n v="3069"/>
    <n v="2240"/>
  </r>
  <r>
    <s v="KL-2018-5607033"/>
    <x v="23"/>
    <s v="Sopoline Noel"/>
    <x v="0"/>
    <x v="0"/>
    <s v="Vienna"/>
    <x v="0"/>
    <n v="3755"/>
    <n v="2516"/>
  </r>
  <r>
    <s v="KL-2018-5607034"/>
    <x v="24"/>
    <s v="Abbot Horton"/>
    <x v="1"/>
    <x v="1"/>
    <s v="Langen"/>
    <x v="0"/>
    <n v="3215"/>
    <n v="2058"/>
  </r>
  <r>
    <s v="KL-2018-5607035"/>
    <x v="25"/>
    <s v="Hedda Livingston"/>
    <x v="1"/>
    <x v="1"/>
    <s v="Langen"/>
    <x v="0"/>
    <n v="3685"/>
    <n v="2543"/>
  </r>
  <r>
    <s v="KL-2018-5607036"/>
    <x v="26"/>
    <s v="Henry Hodges"/>
    <x v="1"/>
    <x v="1"/>
    <s v="Langen"/>
    <x v="0"/>
    <n v="4015"/>
    <n v="2730"/>
  </r>
  <r>
    <s v="KL-2018-5607037"/>
    <x v="27"/>
    <s v="Aristotle Barrett"/>
    <x v="1"/>
    <x v="1"/>
    <s v="Langen"/>
    <x v="0"/>
    <n v="2517"/>
    <n v="1661"/>
  </r>
  <r>
    <s v="KL-2018-5607038"/>
    <x v="28"/>
    <s v="Wendy Neal"/>
    <x v="1"/>
    <x v="1"/>
    <s v="Langen"/>
    <x v="0"/>
    <n v="2598"/>
    <n v="1793"/>
  </r>
  <r>
    <s v="KL-2018-5607039"/>
    <x v="29"/>
    <s v="Raymond Mckenzie"/>
    <x v="2"/>
    <x v="2"/>
    <s v="Copenhagen"/>
    <x v="1"/>
    <n v="3513"/>
    <n v="2740"/>
  </r>
  <r>
    <s v="KL-2018-5607040"/>
    <x v="30"/>
    <s v="Zephr Hickman"/>
    <x v="3"/>
    <x v="3"/>
    <s v="Gandia"/>
    <x v="2"/>
    <n v="2247"/>
    <n v="1775"/>
  </r>
  <r>
    <s v="KL-2018-5607041"/>
    <x v="31"/>
    <s v="Georgia Kane"/>
    <x v="2"/>
    <x v="4"/>
    <s v="Esbjerg"/>
    <x v="1"/>
    <n v="2878"/>
    <n v="1784"/>
  </r>
  <r>
    <s v="KL-2018-5607042"/>
    <x v="32"/>
    <s v="Stella Dejesus"/>
    <x v="4"/>
    <x v="5"/>
    <s v="Mumbai"/>
    <x v="2"/>
    <n v="3425"/>
    <n v="2706"/>
  </r>
  <r>
    <s v="KL-2018-5607043"/>
    <x v="33"/>
    <s v="Dahlia Porter"/>
    <x v="4"/>
    <x v="6"/>
    <s v="Patna"/>
    <x v="2"/>
    <n v="2865"/>
    <n v="2091"/>
  </r>
  <r>
    <s v="KL-2018-5607044"/>
    <x v="34"/>
    <s v="Ria Foster"/>
    <x v="4"/>
    <x v="6"/>
    <s v="Patna"/>
    <x v="2"/>
    <n v="2393"/>
    <n v="1723"/>
  </r>
  <r>
    <s v="KL-2018-5607045"/>
    <x v="35"/>
    <s v="Kiona Moore"/>
    <x v="5"/>
    <x v="7"/>
    <s v="Villiers-sur-Marne"/>
    <x v="0"/>
    <n v="3149"/>
    <n v="2299"/>
  </r>
  <r>
    <s v="KL-2018-5607046"/>
    <x v="36"/>
    <s v="Guinevere Sullivan"/>
    <x v="1"/>
    <x v="8"/>
    <s v="Bielefeld"/>
    <x v="0"/>
    <n v="3277"/>
    <n v="2130"/>
  </r>
  <r>
    <s v="KL-2018-5607047"/>
    <x v="37"/>
    <s v="Ingrid Barnes"/>
    <x v="6"/>
    <x v="9"/>
    <s v="Leuven"/>
    <x v="0"/>
    <n v="2713"/>
    <n v="1682"/>
  </r>
  <r>
    <s v="KL-2018-5607048"/>
    <x v="38"/>
    <s v="Quinlan Holcomb"/>
    <x v="6"/>
    <x v="9"/>
    <s v="Leuven"/>
    <x v="0"/>
    <n v="3381"/>
    <n v="2231"/>
  </r>
  <r>
    <s v="KL-2018-5607049"/>
    <x v="39"/>
    <s v="Blair Mccullough"/>
    <x v="4"/>
    <x v="5"/>
    <s v="Pune"/>
    <x v="2"/>
    <n v="2545"/>
    <n v="2011"/>
  </r>
  <r>
    <s v="KL-2018-5607050"/>
    <x v="40"/>
    <s v="Diana Guthrie"/>
    <x v="4"/>
    <x v="5"/>
    <s v="Pune"/>
    <x v="2"/>
    <n v="4473"/>
    <n v="2729"/>
  </r>
  <r>
    <s v="KL-2018-5607051"/>
    <x v="41"/>
    <s v="Neville Ashley"/>
    <x v="4"/>
    <x v="5"/>
    <s v="Pune"/>
    <x v="2"/>
    <n v="3332"/>
    <n v="2132"/>
  </r>
  <r>
    <s v="KL-2018-5607031"/>
    <x v="42"/>
    <s v="Lani Bowers"/>
    <x v="0"/>
    <x v="0"/>
    <s v="Vienna"/>
    <x v="0"/>
    <n v="2283"/>
    <n v="1438"/>
  </r>
  <r>
    <s v="KL-2018-5607032"/>
    <x v="43"/>
    <s v="Lana Adkins"/>
    <x v="0"/>
    <x v="0"/>
    <s v="Vienna"/>
    <x v="0"/>
    <n v="2696"/>
    <n v="1833"/>
  </r>
  <r>
    <s v="KL-2018-5607033"/>
    <x v="44"/>
    <s v="Sopoline Noel"/>
    <x v="0"/>
    <x v="0"/>
    <s v="Vienna"/>
    <x v="0"/>
    <n v="4061"/>
    <n v="3127"/>
  </r>
  <r>
    <s v="KL-2018-5607034"/>
    <x v="45"/>
    <s v="Abbot Horton"/>
    <x v="1"/>
    <x v="1"/>
    <s v="Langen"/>
    <x v="0"/>
    <n v="2382"/>
    <n v="1548"/>
  </r>
  <r>
    <s v="KL-2018-5607035"/>
    <x v="46"/>
    <s v="Hedda Livingston"/>
    <x v="1"/>
    <x v="1"/>
    <s v="Langen"/>
    <x v="0"/>
    <n v="4336"/>
    <n v="2602"/>
  </r>
  <r>
    <s v="KL-2018-5607036"/>
    <x v="47"/>
    <s v="Henry Hodges"/>
    <x v="1"/>
    <x v="1"/>
    <s v="Langen"/>
    <x v="0"/>
    <n v="2602"/>
    <n v="2004"/>
  </r>
  <r>
    <s v="KL-2018-5607037"/>
    <x v="48"/>
    <s v="Aristotle Barrett"/>
    <x v="1"/>
    <x v="1"/>
    <s v="Langen"/>
    <x v="0"/>
    <n v="3094"/>
    <n v="2073"/>
  </r>
  <r>
    <s v="KL-2018-5607038"/>
    <x v="49"/>
    <s v="Wendy Neal"/>
    <x v="1"/>
    <x v="1"/>
    <s v="Langen"/>
    <x v="0"/>
    <n v="3510"/>
    <n v="2141"/>
  </r>
  <r>
    <s v="KL-2018-5607039"/>
    <x v="50"/>
    <s v="Raymond Mckenzie"/>
    <x v="2"/>
    <x v="2"/>
    <s v="Copenhagen"/>
    <x v="1"/>
    <n v="2134"/>
    <n v="1536"/>
  </r>
  <r>
    <s v="KL-2018-5607040"/>
    <x v="51"/>
    <s v="Zephr Hickman"/>
    <x v="3"/>
    <x v="3"/>
    <s v="Gandia"/>
    <x v="2"/>
    <n v="2661"/>
    <n v="2022"/>
  </r>
  <r>
    <s v="KL-2018-5607041"/>
    <x v="52"/>
    <s v="Georgia Kane"/>
    <x v="2"/>
    <x v="4"/>
    <s v="Esbjerg"/>
    <x v="1"/>
    <n v="2901"/>
    <n v="1741"/>
  </r>
  <r>
    <s v="KL-2018-5607042"/>
    <x v="53"/>
    <s v="Stella Dejesus"/>
    <x v="4"/>
    <x v="5"/>
    <s v="Mumbai"/>
    <x v="2"/>
    <n v="3784"/>
    <n v="2384"/>
  </r>
  <r>
    <s v="KL-2018-5607043"/>
    <x v="54"/>
    <s v="Dahlia Porter"/>
    <x v="4"/>
    <x v="6"/>
    <s v="Patna"/>
    <x v="2"/>
    <n v="3135"/>
    <n v="2445"/>
  </r>
  <r>
    <s v="KL-2018-5607044"/>
    <x v="55"/>
    <s v="Ria Foster"/>
    <x v="4"/>
    <x v="6"/>
    <s v="Patna"/>
    <x v="2"/>
    <n v="2802"/>
    <n v="1877"/>
  </r>
  <r>
    <s v="KL-2018-5607045"/>
    <x v="56"/>
    <s v="Kiona Moore"/>
    <x v="5"/>
    <x v="7"/>
    <s v="Villiers-sur-Marne"/>
    <x v="0"/>
    <n v="3486"/>
    <n v="2789"/>
  </r>
  <r>
    <s v="KL-2018-5607046"/>
    <x v="57"/>
    <s v="Guinevere Sullivan"/>
    <x v="1"/>
    <x v="8"/>
    <s v="Bielefeld"/>
    <x v="0"/>
    <n v="3422"/>
    <n v="2122"/>
  </r>
  <r>
    <s v="KL-2018-5607047"/>
    <x v="58"/>
    <s v="Ingrid Barnes"/>
    <x v="6"/>
    <x v="9"/>
    <s v="Leuven"/>
    <x v="0"/>
    <n v="2842"/>
    <n v="2188"/>
  </r>
  <r>
    <s v="KL-2018-5607048"/>
    <x v="59"/>
    <s v="Quinlan Holcomb"/>
    <x v="6"/>
    <x v="9"/>
    <s v="Leuven"/>
    <x v="0"/>
    <n v="3846"/>
    <n v="2500"/>
  </r>
  <r>
    <s v="KL-2018-5607049"/>
    <x v="60"/>
    <s v="Blair Mccullough"/>
    <x v="4"/>
    <x v="5"/>
    <s v="Pune"/>
    <x v="2"/>
    <n v="3131"/>
    <n v="2380"/>
  </r>
  <r>
    <s v="KL-2018-5607050"/>
    <x v="61"/>
    <s v="Diana Guthrie"/>
    <x v="4"/>
    <x v="5"/>
    <s v="Pune"/>
    <x v="2"/>
    <n v="3825"/>
    <n v="2333"/>
  </r>
  <r>
    <s v="KL-2018-5607051"/>
    <x v="62"/>
    <s v="Neville Ashley"/>
    <x v="4"/>
    <x v="5"/>
    <s v="Pune"/>
    <x v="2"/>
    <n v="4362"/>
    <n v="3446"/>
  </r>
  <r>
    <s v="KL-2018-5607052"/>
    <x v="63"/>
    <s v="Lani Bowers"/>
    <x v="0"/>
    <x v="0"/>
    <s v="Vienna"/>
    <x v="0"/>
    <n v="2934"/>
    <n v="1819"/>
  </r>
  <r>
    <s v="KL-2018-5607053"/>
    <x v="64"/>
    <s v="Lana Adkins"/>
    <x v="0"/>
    <x v="0"/>
    <s v="Vienna"/>
    <x v="0"/>
    <n v="4354"/>
    <n v="2787"/>
  </r>
  <r>
    <s v="KL-2018-5607054"/>
    <x v="65"/>
    <s v="Sopoline Noel"/>
    <x v="0"/>
    <x v="0"/>
    <s v="Vienna"/>
    <x v="0"/>
    <n v="2102"/>
    <n v="1534"/>
  </r>
  <r>
    <s v="KL-2018-5607055"/>
    <x v="66"/>
    <s v="Abbot Horton"/>
    <x v="1"/>
    <x v="1"/>
    <s v="Langen"/>
    <x v="0"/>
    <n v="3261"/>
    <n v="2446"/>
  </r>
  <r>
    <s v="KL-2018-5607056"/>
    <x v="67"/>
    <s v="Hedda Livingston"/>
    <x v="1"/>
    <x v="1"/>
    <s v="Langen"/>
    <x v="0"/>
    <n v="2577"/>
    <n v="1907"/>
  </r>
  <r>
    <s v="KL-2018-5607057"/>
    <x v="68"/>
    <s v="Henry Hodges"/>
    <x v="1"/>
    <x v="1"/>
    <s v="Langen"/>
    <x v="0"/>
    <n v="3131"/>
    <n v="1973"/>
  </r>
  <r>
    <s v="KL-2018-5607058"/>
    <x v="69"/>
    <s v="Aristotle Barrett"/>
    <x v="1"/>
    <x v="1"/>
    <s v="Langen"/>
    <x v="0"/>
    <n v="2683"/>
    <n v="1798"/>
  </r>
  <r>
    <s v="KL-2018-5607059"/>
    <x v="70"/>
    <s v="Wendy Neal"/>
    <x v="1"/>
    <x v="1"/>
    <s v="Langen"/>
    <x v="0"/>
    <n v="2613"/>
    <n v="1751"/>
  </r>
  <r>
    <s v="KL-2018-5607060"/>
    <x v="71"/>
    <s v="Raymond Mckenzie"/>
    <x v="2"/>
    <x v="2"/>
    <s v="Copenhagen"/>
    <x v="1"/>
    <n v="4076"/>
    <n v="2609"/>
  </r>
  <r>
    <s v="KL-2018-5607061"/>
    <x v="72"/>
    <s v="Zephr Hickman"/>
    <x v="3"/>
    <x v="3"/>
    <s v="Gandia"/>
    <x v="2"/>
    <n v="4400"/>
    <n v="3432"/>
  </r>
  <r>
    <s v="KL-2018-5607062"/>
    <x v="73"/>
    <s v="Georgia Kane"/>
    <x v="2"/>
    <x v="4"/>
    <s v="Esbjerg"/>
    <x v="1"/>
    <n v="2466"/>
    <n v="1603"/>
  </r>
  <r>
    <s v="KL-2018-5607063"/>
    <x v="74"/>
    <s v="Stella Dejesus"/>
    <x v="4"/>
    <x v="5"/>
    <s v="Mumbai"/>
    <x v="2"/>
    <n v="2137"/>
    <n v="1325"/>
  </r>
  <r>
    <s v="KL-2018-5607064"/>
    <x v="75"/>
    <s v="Dahlia Porter"/>
    <x v="4"/>
    <x v="6"/>
    <s v="Patna"/>
    <x v="2"/>
    <n v="4216"/>
    <n v="3162"/>
  </r>
  <r>
    <s v="KL-2018-5607065"/>
    <x v="76"/>
    <s v="Ria Foster"/>
    <x v="4"/>
    <x v="6"/>
    <s v="Patna"/>
    <x v="2"/>
    <n v="3165"/>
    <n v="2310"/>
  </r>
  <r>
    <s v="KL-2018-5607066"/>
    <x v="77"/>
    <s v="Kiona Moore"/>
    <x v="5"/>
    <x v="7"/>
    <s v="Villiers-sur-Marne"/>
    <x v="0"/>
    <n v="3263"/>
    <n v="2545"/>
  </r>
  <r>
    <s v="KL-2018-5607067"/>
    <x v="78"/>
    <s v="Guinevere Sullivan"/>
    <x v="1"/>
    <x v="8"/>
    <s v="Bielefeld"/>
    <x v="0"/>
    <n v="2946"/>
    <n v="2210"/>
  </r>
  <r>
    <s v="KL-2018-5607068"/>
    <x v="79"/>
    <s v="Ingrid Barnes"/>
    <x v="6"/>
    <x v="9"/>
    <s v="Leuven"/>
    <x v="0"/>
    <n v="2989"/>
    <n v="2212"/>
  </r>
  <r>
    <s v="KL-2018-5607069"/>
    <x v="80"/>
    <s v="Quinlan Holcomb"/>
    <x v="6"/>
    <x v="9"/>
    <s v="Leuven"/>
    <x v="0"/>
    <n v="3463"/>
    <n v="2770"/>
  </r>
  <r>
    <s v="KL-2018-5607070"/>
    <x v="81"/>
    <s v="Blair Mccullough"/>
    <x v="4"/>
    <x v="5"/>
    <s v="Pune"/>
    <x v="2"/>
    <n v="2677"/>
    <n v="2088"/>
  </r>
  <r>
    <s v="KL-2018-5607071"/>
    <x v="82"/>
    <s v="Diana Guthrie"/>
    <x v="4"/>
    <x v="5"/>
    <s v="Pune"/>
    <x v="2"/>
    <n v="2966"/>
    <n v="1928"/>
  </r>
  <r>
    <s v="KL-2018-5607072"/>
    <x v="83"/>
    <s v="Neville Ashley"/>
    <x v="4"/>
    <x v="5"/>
    <s v="Pune"/>
    <x v="2"/>
    <n v="2106"/>
    <n v="1516"/>
  </r>
  <r>
    <s v="KL-2018-5607073"/>
    <x v="84"/>
    <s v="Lani Bowers"/>
    <x v="0"/>
    <x v="0"/>
    <s v="Vienna"/>
    <x v="0"/>
    <n v="3664"/>
    <n v="2272"/>
  </r>
  <r>
    <s v="KL-2018-5607074"/>
    <x v="85"/>
    <s v="Lana Adkins"/>
    <x v="0"/>
    <x v="0"/>
    <s v="Vienna"/>
    <x v="0"/>
    <n v="3069"/>
    <n v="2240"/>
  </r>
  <r>
    <s v="KL-2018-5607075"/>
    <x v="86"/>
    <s v="Sopoline Noel"/>
    <x v="0"/>
    <x v="0"/>
    <s v="Vienna"/>
    <x v="0"/>
    <n v="3755"/>
    <n v="2516"/>
  </r>
  <r>
    <s v="KL-2018-5607076"/>
    <x v="87"/>
    <s v="Abbot Horton"/>
    <x v="1"/>
    <x v="1"/>
    <s v="Langen"/>
    <x v="0"/>
    <n v="3215"/>
    <n v="2058"/>
  </r>
  <r>
    <s v="KL-2018-5607077"/>
    <x v="88"/>
    <s v="Hedda Livingston"/>
    <x v="1"/>
    <x v="1"/>
    <s v="Langen"/>
    <x v="0"/>
    <n v="3685"/>
    <n v="2543"/>
  </r>
  <r>
    <s v="KL-2018-5607078"/>
    <x v="89"/>
    <s v="Henry Hodges"/>
    <x v="1"/>
    <x v="1"/>
    <s v="Langen"/>
    <x v="0"/>
    <n v="4015"/>
    <n v="2730"/>
  </r>
  <r>
    <s v="KL-2018-5607079"/>
    <x v="90"/>
    <s v="Aristotle Barrett"/>
    <x v="1"/>
    <x v="1"/>
    <s v="Langen"/>
    <x v="0"/>
    <n v="2517"/>
    <n v="1661"/>
  </r>
  <r>
    <s v="KL-2018-5607080"/>
    <x v="91"/>
    <s v="Wendy Neal"/>
    <x v="1"/>
    <x v="1"/>
    <s v="Langen"/>
    <x v="0"/>
    <n v="2598"/>
    <n v="1793"/>
  </r>
  <r>
    <s v="KL-2018-5607081"/>
    <x v="92"/>
    <s v="Raymond Mckenzie"/>
    <x v="2"/>
    <x v="2"/>
    <s v="Copenhagen"/>
    <x v="1"/>
    <n v="3513"/>
    <n v="2740"/>
  </r>
  <r>
    <s v="KL-2018-5607082"/>
    <x v="93"/>
    <s v="Zephr Hickman"/>
    <x v="3"/>
    <x v="3"/>
    <s v="Gandia"/>
    <x v="2"/>
    <n v="2247"/>
    <n v="1775"/>
  </r>
  <r>
    <s v="KL-2018-5607083"/>
    <x v="94"/>
    <s v="Georgia Kane"/>
    <x v="2"/>
    <x v="4"/>
    <s v="Esbjerg"/>
    <x v="1"/>
    <n v="2878"/>
    <n v="1784"/>
  </r>
  <r>
    <s v="KL-2018-5607084"/>
    <x v="95"/>
    <s v="Stella Dejesus"/>
    <x v="4"/>
    <x v="5"/>
    <s v="Mumbai"/>
    <x v="2"/>
    <n v="3425"/>
    <n v="2706"/>
  </r>
  <r>
    <s v="KL-2018-5607085"/>
    <x v="96"/>
    <s v="Dahlia Porter"/>
    <x v="4"/>
    <x v="6"/>
    <s v="Patna"/>
    <x v="2"/>
    <n v="2865"/>
    <n v="2091"/>
  </r>
  <r>
    <s v="KL-2018-5607086"/>
    <x v="97"/>
    <s v="Ria Foster"/>
    <x v="4"/>
    <x v="6"/>
    <s v="Patna"/>
    <x v="2"/>
    <n v="2393"/>
    <n v="1723"/>
  </r>
  <r>
    <s v="KL-2018-5607087"/>
    <x v="98"/>
    <s v="Kiona Moore"/>
    <x v="5"/>
    <x v="7"/>
    <s v="Villiers-sur-Marne"/>
    <x v="0"/>
    <n v="3149"/>
    <n v="2299"/>
  </r>
  <r>
    <s v="KL-2018-5607088"/>
    <x v="99"/>
    <s v="Guinevere Sullivan"/>
    <x v="1"/>
    <x v="8"/>
    <s v="Bielefeld"/>
    <x v="0"/>
    <n v="3277"/>
    <n v="2130"/>
  </r>
  <r>
    <s v="KL-2018-5607089"/>
    <x v="100"/>
    <s v="Ingrid Barnes"/>
    <x v="6"/>
    <x v="9"/>
    <s v="Leuven"/>
    <x v="0"/>
    <n v="2713"/>
    <n v="1682"/>
  </r>
  <r>
    <s v="KL-2018-5607090"/>
    <x v="101"/>
    <s v="Quinlan Holcomb"/>
    <x v="6"/>
    <x v="9"/>
    <s v="Leuven"/>
    <x v="0"/>
    <n v="3381"/>
    <n v="2231"/>
  </r>
  <r>
    <s v="KL-2018-5607091"/>
    <x v="102"/>
    <s v="Blair Mccullough"/>
    <x v="4"/>
    <x v="5"/>
    <s v="Pune"/>
    <x v="2"/>
    <n v="2545"/>
    <n v="2011"/>
  </r>
  <r>
    <s v="KL-2018-5607092"/>
    <x v="103"/>
    <s v="Diana Guthrie"/>
    <x v="4"/>
    <x v="5"/>
    <s v="Pune"/>
    <x v="2"/>
    <n v="4473"/>
    <n v="2729"/>
  </r>
  <r>
    <s v="KL-2018-5607093"/>
    <x v="104"/>
    <s v="Neville Ashley"/>
    <x v="4"/>
    <x v="5"/>
    <s v="Pune"/>
    <x v="2"/>
    <n v="3332"/>
    <n v="2132"/>
  </r>
  <r>
    <s v="KL-2018-5607094"/>
    <x v="105"/>
    <s v="Lani Bowers"/>
    <x v="0"/>
    <x v="0"/>
    <s v="Vienna"/>
    <x v="0"/>
    <n v="2283"/>
    <n v="1438"/>
  </r>
  <r>
    <s v="KL-2018-5607095"/>
    <x v="106"/>
    <s v="Lana Adkins"/>
    <x v="0"/>
    <x v="0"/>
    <s v="Vienna"/>
    <x v="0"/>
    <n v="2696"/>
    <n v="1833"/>
  </r>
  <r>
    <s v="KL-2018-5607096"/>
    <x v="107"/>
    <s v="Sopoline Noel"/>
    <x v="0"/>
    <x v="0"/>
    <s v="Vienna"/>
    <x v="0"/>
    <n v="4061"/>
    <n v="3127"/>
  </r>
  <r>
    <s v="KL-2018-5607097"/>
    <x v="108"/>
    <s v="Abbot Horton"/>
    <x v="1"/>
    <x v="1"/>
    <s v="Langen"/>
    <x v="0"/>
    <n v="2382"/>
    <n v="1548"/>
  </r>
  <r>
    <s v="KL-2018-5607098"/>
    <x v="109"/>
    <s v="Hedda Livingston"/>
    <x v="1"/>
    <x v="1"/>
    <s v="Langen"/>
    <x v="0"/>
    <n v="4336"/>
    <n v="2602"/>
  </r>
  <r>
    <s v="KL-2018-5607099"/>
    <x v="110"/>
    <s v="Henry Hodges"/>
    <x v="1"/>
    <x v="1"/>
    <s v="Langen"/>
    <x v="0"/>
    <n v="2602"/>
    <n v="2004"/>
  </r>
  <r>
    <s v="KL-2018-5607100"/>
    <x v="111"/>
    <s v="Aristotle Barrett"/>
    <x v="1"/>
    <x v="1"/>
    <s v="Langen"/>
    <x v="0"/>
    <n v="3094"/>
    <n v="2073"/>
  </r>
  <r>
    <s v="KL-2018-5607101"/>
    <x v="112"/>
    <s v="Wendy Neal"/>
    <x v="1"/>
    <x v="1"/>
    <s v="Langen"/>
    <x v="0"/>
    <n v="3510"/>
    <n v="2141"/>
  </r>
  <r>
    <s v="KL-2018-5607102"/>
    <x v="113"/>
    <s v="Raymond Mckenzie"/>
    <x v="2"/>
    <x v="2"/>
    <s v="Copenhagen"/>
    <x v="1"/>
    <n v="2134"/>
    <n v="1536"/>
  </r>
  <r>
    <s v="KL-2018-5607103"/>
    <x v="114"/>
    <s v="Zephr Hickman"/>
    <x v="3"/>
    <x v="3"/>
    <s v="Gandia"/>
    <x v="2"/>
    <n v="2661"/>
    <n v="2022"/>
  </r>
  <r>
    <s v="KL-2018-5607104"/>
    <x v="115"/>
    <s v="Georgia Kane"/>
    <x v="2"/>
    <x v="4"/>
    <s v="Esbjerg"/>
    <x v="1"/>
    <n v="2901"/>
    <n v="1741"/>
  </r>
  <r>
    <s v="KL-2018-5607105"/>
    <x v="116"/>
    <s v="Stella Dejesus"/>
    <x v="4"/>
    <x v="5"/>
    <s v="Mumbai"/>
    <x v="2"/>
    <n v="3784"/>
    <n v="2384"/>
  </r>
  <r>
    <s v="KL-2018-5607106"/>
    <x v="117"/>
    <s v="Dahlia Porter"/>
    <x v="4"/>
    <x v="6"/>
    <s v="Patna"/>
    <x v="2"/>
    <n v="3135"/>
    <n v="2445"/>
  </r>
  <r>
    <s v="KL-2018-5607107"/>
    <x v="118"/>
    <s v="Ria Foster"/>
    <x v="4"/>
    <x v="6"/>
    <s v="Patna"/>
    <x v="2"/>
    <n v="2802"/>
    <n v="1877"/>
  </r>
  <r>
    <s v="KL-2018-5607108"/>
    <x v="119"/>
    <s v="Kiona Moore"/>
    <x v="5"/>
    <x v="7"/>
    <s v="Villiers-sur-Marne"/>
    <x v="0"/>
    <n v="3486"/>
    <n v="2789"/>
  </r>
  <r>
    <s v="KL-2018-5607109"/>
    <x v="120"/>
    <s v="Guinevere Sullivan"/>
    <x v="1"/>
    <x v="8"/>
    <s v="Bielefeld"/>
    <x v="0"/>
    <n v="3422"/>
    <n v="2122"/>
  </r>
  <r>
    <s v="KL-2018-5607110"/>
    <x v="121"/>
    <s v="Ingrid Barnes"/>
    <x v="6"/>
    <x v="9"/>
    <s v="Leuven"/>
    <x v="0"/>
    <n v="2842"/>
    <n v="2188"/>
  </r>
  <r>
    <s v="KL-2018-5607111"/>
    <x v="122"/>
    <s v="Quinlan Holcomb"/>
    <x v="6"/>
    <x v="9"/>
    <s v="Leuven"/>
    <x v="0"/>
    <n v="3846"/>
    <n v="2500"/>
  </r>
  <r>
    <s v="KL-2018-5607112"/>
    <x v="123"/>
    <s v="Blair Mccullough"/>
    <x v="4"/>
    <x v="5"/>
    <s v="Pune"/>
    <x v="2"/>
    <n v="3131"/>
    <n v="2380"/>
  </r>
  <r>
    <s v="KL-2018-5607113"/>
    <x v="124"/>
    <s v="Diana Guthrie"/>
    <x v="4"/>
    <x v="5"/>
    <s v="Pune"/>
    <x v="2"/>
    <n v="3825"/>
    <n v="2333"/>
  </r>
  <r>
    <s v="KL-2018-5607114"/>
    <x v="125"/>
    <s v="Neville Ashley"/>
    <x v="4"/>
    <x v="5"/>
    <s v="Pune"/>
    <x v="2"/>
    <n v="4362"/>
    <n v="3446"/>
  </r>
  <r>
    <s v="KL-2018-5607115"/>
    <x v="126"/>
    <s v="Lani Bowers"/>
    <x v="0"/>
    <x v="0"/>
    <s v="Vienna"/>
    <x v="0"/>
    <n v="2934"/>
    <n v="1819"/>
  </r>
  <r>
    <s v="KL-2018-5607116"/>
    <x v="127"/>
    <s v="Lana Adkins"/>
    <x v="0"/>
    <x v="0"/>
    <s v="Vienna"/>
    <x v="0"/>
    <n v="4354"/>
    <n v="2787"/>
  </r>
  <r>
    <s v="KL-2018-5607117"/>
    <x v="128"/>
    <s v="Sopoline Noel"/>
    <x v="0"/>
    <x v="0"/>
    <s v="Vienna"/>
    <x v="0"/>
    <n v="2102"/>
    <n v="1534"/>
  </r>
  <r>
    <s v="KL-2018-5607118"/>
    <x v="129"/>
    <s v="Abbot Horton"/>
    <x v="1"/>
    <x v="1"/>
    <s v="Langen"/>
    <x v="0"/>
    <n v="3261"/>
    <n v="2446"/>
  </r>
  <r>
    <s v="KL-2018-5607119"/>
    <x v="130"/>
    <s v="Hedda Livingston"/>
    <x v="1"/>
    <x v="1"/>
    <s v="Langen"/>
    <x v="0"/>
    <n v="2577"/>
    <n v="1907"/>
  </r>
  <r>
    <s v="KL-2018-5607120"/>
    <x v="131"/>
    <s v="Henry Hodges"/>
    <x v="1"/>
    <x v="1"/>
    <s v="Langen"/>
    <x v="0"/>
    <n v="3131"/>
    <n v="1973"/>
  </r>
  <r>
    <s v="KL-2018-5607121"/>
    <x v="132"/>
    <s v="Aristotle Barrett"/>
    <x v="1"/>
    <x v="1"/>
    <s v="Langen"/>
    <x v="0"/>
    <n v="2683"/>
    <n v="1798"/>
  </r>
  <r>
    <s v="KL-2018-5607122"/>
    <x v="133"/>
    <s v="Wendy Neal"/>
    <x v="1"/>
    <x v="1"/>
    <s v="Langen"/>
    <x v="0"/>
    <n v="2613"/>
    <n v="1751"/>
  </r>
  <r>
    <s v="KL-2018-5607123"/>
    <x v="134"/>
    <s v="Raymond Mckenzie"/>
    <x v="2"/>
    <x v="2"/>
    <s v="Copenhagen"/>
    <x v="1"/>
    <n v="4076"/>
    <n v="2609"/>
  </r>
  <r>
    <s v="KL-2018-5607124"/>
    <x v="135"/>
    <s v="Zephr Hickman"/>
    <x v="3"/>
    <x v="3"/>
    <s v="Gandia"/>
    <x v="2"/>
    <n v="4400"/>
    <n v="3432"/>
  </r>
  <r>
    <s v="KL-2018-5607125"/>
    <x v="136"/>
    <s v="Georgia Kane"/>
    <x v="2"/>
    <x v="4"/>
    <s v="Esbjerg"/>
    <x v="1"/>
    <n v="2466"/>
    <n v="1603"/>
  </r>
  <r>
    <s v="KL-2018-5607126"/>
    <x v="137"/>
    <s v="Stella Dejesus"/>
    <x v="4"/>
    <x v="5"/>
    <s v="Mumbai"/>
    <x v="2"/>
    <n v="2137"/>
    <n v="1325"/>
  </r>
  <r>
    <s v="KL-2018-5607127"/>
    <x v="138"/>
    <s v="Dahlia Porter"/>
    <x v="4"/>
    <x v="6"/>
    <s v="Patna"/>
    <x v="2"/>
    <n v="4216"/>
    <n v="3162"/>
  </r>
  <r>
    <s v="KL-2018-5607128"/>
    <x v="139"/>
    <s v="Ria Foster"/>
    <x v="4"/>
    <x v="6"/>
    <s v="Patna"/>
    <x v="2"/>
    <n v="3165"/>
    <n v="2310"/>
  </r>
  <r>
    <s v="KL-2018-5607129"/>
    <x v="140"/>
    <s v="Kiona Moore"/>
    <x v="5"/>
    <x v="7"/>
    <s v="Villiers-sur-Marne"/>
    <x v="0"/>
    <n v="3263"/>
    <n v="2545"/>
  </r>
  <r>
    <s v="KL-2018-5607130"/>
    <x v="141"/>
    <s v="Guinevere Sullivan"/>
    <x v="1"/>
    <x v="8"/>
    <s v="Bielefeld"/>
    <x v="0"/>
    <n v="2946"/>
    <n v="2210"/>
  </r>
  <r>
    <s v="KL-2018-5607131"/>
    <x v="142"/>
    <s v="Ingrid Barnes"/>
    <x v="6"/>
    <x v="9"/>
    <s v="Leuven"/>
    <x v="0"/>
    <n v="2989"/>
    <n v="2212"/>
  </r>
  <r>
    <s v="KL-2018-5607132"/>
    <x v="143"/>
    <s v="Quinlan Holcomb"/>
    <x v="6"/>
    <x v="9"/>
    <s v="Leuven"/>
    <x v="0"/>
    <n v="3463"/>
    <n v="2770"/>
  </r>
  <r>
    <s v="KL-2018-5607133"/>
    <x v="144"/>
    <s v="Blair Mccullough"/>
    <x v="4"/>
    <x v="5"/>
    <s v="Pune"/>
    <x v="2"/>
    <n v="2677"/>
    <n v="2088"/>
  </r>
  <r>
    <s v="KL-2018-5607134"/>
    <x v="145"/>
    <s v="Diana Guthrie"/>
    <x v="4"/>
    <x v="5"/>
    <s v="Pune"/>
    <x v="2"/>
    <n v="2966"/>
    <n v="1928"/>
  </r>
  <r>
    <s v="KL-2018-5607135"/>
    <x v="146"/>
    <s v="Neville Ashley"/>
    <x v="4"/>
    <x v="5"/>
    <s v="Pune"/>
    <x v="2"/>
    <n v="2106"/>
    <n v="1516"/>
  </r>
  <r>
    <s v="KL-2018-5607136"/>
    <x v="147"/>
    <s v="Lani Bowers"/>
    <x v="0"/>
    <x v="0"/>
    <s v="Vienna"/>
    <x v="0"/>
    <n v="3664"/>
    <n v="2272"/>
  </r>
  <r>
    <s v="KL-2018-5607137"/>
    <x v="148"/>
    <s v="Lana Adkins"/>
    <x v="0"/>
    <x v="0"/>
    <s v="Vienna"/>
    <x v="0"/>
    <n v="3069"/>
    <n v="2240"/>
  </r>
  <r>
    <s v="KL-2018-5607138"/>
    <x v="149"/>
    <s v="Sopoline Noel"/>
    <x v="0"/>
    <x v="0"/>
    <s v="Vienna"/>
    <x v="0"/>
    <n v="3755"/>
    <n v="2516"/>
  </r>
  <r>
    <s v="KL-2018-5607139"/>
    <x v="150"/>
    <s v="Abbot Horton"/>
    <x v="1"/>
    <x v="1"/>
    <s v="Langen"/>
    <x v="0"/>
    <n v="3215"/>
    <n v="2058"/>
  </r>
  <r>
    <s v="KL-2018-5607140"/>
    <x v="151"/>
    <s v="Hedda Livingston"/>
    <x v="1"/>
    <x v="1"/>
    <s v="Langen"/>
    <x v="0"/>
    <n v="3685"/>
    <n v="2543"/>
  </r>
  <r>
    <s v="KL-2018-5607141"/>
    <x v="152"/>
    <s v="Henry Hodges"/>
    <x v="1"/>
    <x v="1"/>
    <s v="Langen"/>
    <x v="0"/>
    <n v="4015"/>
    <n v="2730"/>
  </r>
  <r>
    <s v="KL-2018-5607142"/>
    <x v="153"/>
    <s v="Aristotle Barrett"/>
    <x v="1"/>
    <x v="1"/>
    <s v="Langen"/>
    <x v="0"/>
    <n v="2517"/>
    <n v="1661"/>
  </r>
  <r>
    <s v="KL-2018-5607143"/>
    <x v="154"/>
    <s v="Wendy Neal"/>
    <x v="1"/>
    <x v="1"/>
    <s v="Langen"/>
    <x v="0"/>
    <n v="2598"/>
    <n v="1793"/>
  </r>
  <r>
    <s v="KL-2018-5607144"/>
    <x v="155"/>
    <s v="Raymond Mckenzie"/>
    <x v="2"/>
    <x v="2"/>
    <s v="Copenhagen"/>
    <x v="1"/>
    <n v="3513"/>
    <n v="2740"/>
  </r>
  <r>
    <s v="KL-2018-5607145"/>
    <x v="156"/>
    <s v="Zephr Hickman"/>
    <x v="3"/>
    <x v="3"/>
    <s v="Gandia"/>
    <x v="2"/>
    <n v="2247"/>
    <n v="1775"/>
  </r>
  <r>
    <s v="KL-2018-5607146"/>
    <x v="157"/>
    <s v="Georgia Kane"/>
    <x v="2"/>
    <x v="4"/>
    <s v="Esbjerg"/>
    <x v="1"/>
    <n v="2878"/>
    <n v="1784"/>
  </r>
  <r>
    <s v="KL-2018-5607147"/>
    <x v="158"/>
    <s v="Stella Dejesus"/>
    <x v="4"/>
    <x v="5"/>
    <s v="Mumbai"/>
    <x v="2"/>
    <n v="3425"/>
    <n v="2706"/>
  </r>
  <r>
    <s v="KL-2018-5607148"/>
    <x v="159"/>
    <s v="Dahlia Porter"/>
    <x v="4"/>
    <x v="6"/>
    <s v="Patna"/>
    <x v="2"/>
    <n v="2865"/>
    <n v="2091"/>
  </r>
  <r>
    <s v="KL-2018-5607149"/>
    <x v="160"/>
    <s v="Ria Foster"/>
    <x v="4"/>
    <x v="6"/>
    <s v="Patna"/>
    <x v="2"/>
    <n v="2393"/>
    <n v="1723"/>
  </r>
  <r>
    <s v="KL-2018-5607150"/>
    <x v="161"/>
    <s v="Kiona Moore"/>
    <x v="5"/>
    <x v="7"/>
    <s v="Villiers-sur-Marne"/>
    <x v="0"/>
    <n v="3149"/>
    <n v="2299"/>
  </r>
  <r>
    <s v="KL-2018-5607151"/>
    <x v="162"/>
    <s v="Guinevere Sullivan"/>
    <x v="1"/>
    <x v="8"/>
    <s v="Bielefeld"/>
    <x v="0"/>
    <n v="3277"/>
    <n v="2130"/>
  </r>
  <r>
    <s v="KL-2018-5607152"/>
    <x v="163"/>
    <s v="Ingrid Barnes"/>
    <x v="6"/>
    <x v="9"/>
    <s v="Leuven"/>
    <x v="0"/>
    <n v="2713"/>
    <n v="1682"/>
  </r>
  <r>
    <s v="KL-2018-5607153"/>
    <x v="164"/>
    <s v="Quinlan Holcomb"/>
    <x v="6"/>
    <x v="9"/>
    <s v="Leuven"/>
    <x v="0"/>
    <n v="3381"/>
    <n v="2231"/>
  </r>
  <r>
    <s v="KL-2018-5607154"/>
    <x v="165"/>
    <s v="Blair Mccullough"/>
    <x v="4"/>
    <x v="5"/>
    <s v="Pune"/>
    <x v="2"/>
    <n v="2545"/>
    <n v="2011"/>
  </r>
  <r>
    <s v="KL-2018-5607155"/>
    <x v="166"/>
    <s v="Diana Guthrie"/>
    <x v="4"/>
    <x v="5"/>
    <s v="Pune"/>
    <x v="2"/>
    <n v="4473"/>
    <n v="2729"/>
  </r>
  <r>
    <s v="KL-2018-5607156"/>
    <x v="167"/>
    <s v="Neville Ashley"/>
    <x v="4"/>
    <x v="5"/>
    <s v="Pune"/>
    <x v="2"/>
    <n v="3332"/>
    <n v="2132"/>
  </r>
  <r>
    <s v="KL-2018-5607157"/>
    <x v="168"/>
    <s v="Lani Bowers"/>
    <x v="0"/>
    <x v="0"/>
    <s v="Vienna"/>
    <x v="0"/>
    <n v="2283"/>
    <n v="1438"/>
  </r>
  <r>
    <s v="KL-2018-5607158"/>
    <x v="169"/>
    <s v="Lana Adkins"/>
    <x v="0"/>
    <x v="0"/>
    <s v="Vienna"/>
    <x v="0"/>
    <n v="2696"/>
    <n v="1833"/>
  </r>
  <r>
    <s v="KL-2018-5607159"/>
    <x v="170"/>
    <s v="Sopoline Noel"/>
    <x v="0"/>
    <x v="0"/>
    <s v="Vienna"/>
    <x v="0"/>
    <n v="4061"/>
    <n v="3127"/>
  </r>
  <r>
    <s v="KL-2018-5607160"/>
    <x v="171"/>
    <s v="Abbot Horton"/>
    <x v="1"/>
    <x v="1"/>
    <s v="Langen"/>
    <x v="0"/>
    <n v="2382"/>
    <n v="1548"/>
  </r>
  <r>
    <s v="KL-2018-5607161"/>
    <x v="172"/>
    <s v="Hedda Livingston"/>
    <x v="1"/>
    <x v="1"/>
    <s v="Langen"/>
    <x v="0"/>
    <n v="4336"/>
    <n v="2602"/>
  </r>
  <r>
    <s v="KL-2018-5607162"/>
    <x v="173"/>
    <s v="Henry Hodges"/>
    <x v="1"/>
    <x v="1"/>
    <s v="Langen"/>
    <x v="0"/>
    <n v="2602"/>
    <n v="2004"/>
  </r>
  <r>
    <s v="KL-2018-5607163"/>
    <x v="174"/>
    <s v="Aristotle Barrett"/>
    <x v="1"/>
    <x v="1"/>
    <s v="Langen"/>
    <x v="0"/>
    <n v="3094"/>
    <n v="2073"/>
  </r>
  <r>
    <s v="KL-2018-5607164"/>
    <x v="175"/>
    <s v="Wendy Neal"/>
    <x v="1"/>
    <x v="1"/>
    <s v="Langen"/>
    <x v="0"/>
    <n v="3510"/>
    <n v="2141"/>
  </r>
  <r>
    <s v="KL-2018-5607165"/>
    <x v="176"/>
    <s v="Raymond Mckenzie"/>
    <x v="2"/>
    <x v="2"/>
    <s v="Copenhagen"/>
    <x v="1"/>
    <n v="2134"/>
    <n v="1536"/>
  </r>
  <r>
    <s v="KL-2018-5607166"/>
    <x v="177"/>
    <s v="Zephr Hickman"/>
    <x v="3"/>
    <x v="3"/>
    <s v="Gandia"/>
    <x v="2"/>
    <n v="2661"/>
    <n v="2022"/>
  </r>
  <r>
    <s v="KL-2018-5607167"/>
    <x v="178"/>
    <s v="Georgia Kane"/>
    <x v="2"/>
    <x v="4"/>
    <s v="Esbjerg"/>
    <x v="1"/>
    <n v="2901"/>
    <n v="1741"/>
  </r>
  <r>
    <s v="KL-2018-5607168"/>
    <x v="179"/>
    <s v="Stella Dejesus"/>
    <x v="4"/>
    <x v="5"/>
    <s v="Mumbai"/>
    <x v="2"/>
    <n v="3784"/>
    <n v="2384"/>
  </r>
  <r>
    <s v="KL-2018-5607169"/>
    <x v="180"/>
    <s v="Dahlia Porter"/>
    <x v="4"/>
    <x v="6"/>
    <s v="Patna"/>
    <x v="2"/>
    <n v="3135"/>
    <n v="2445"/>
  </r>
  <r>
    <s v="KL-2018-5607170"/>
    <x v="181"/>
    <s v="Ria Foster"/>
    <x v="4"/>
    <x v="6"/>
    <s v="Patna"/>
    <x v="2"/>
    <n v="2802"/>
    <n v="1877"/>
  </r>
  <r>
    <s v="KL-2018-5607171"/>
    <x v="182"/>
    <s v="Kiona Moore"/>
    <x v="5"/>
    <x v="7"/>
    <s v="Villiers-sur-Marne"/>
    <x v="0"/>
    <n v="3486"/>
    <n v="2789"/>
  </r>
  <r>
    <s v="KL-2018-5607172"/>
    <x v="183"/>
    <s v="Guinevere Sullivan"/>
    <x v="1"/>
    <x v="8"/>
    <s v="Bielefeld"/>
    <x v="0"/>
    <n v="3422"/>
    <n v="2122"/>
  </r>
  <r>
    <s v="KL-2018-5607173"/>
    <x v="184"/>
    <s v="Ingrid Barnes"/>
    <x v="6"/>
    <x v="9"/>
    <s v="Leuven"/>
    <x v="0"/>
    <n v="2842"/>
    <n v="2188"/>
  </r>
  <r>
    <s v="KL-2018-5607174"/>
    <x v="185"/>
    <s v="Quinlan Holcomb"/>
    <x v="6"/>
    <x v="9"/>
    <s v="Leuven"/>
    <x v="0"/>
    <n v="3846"/>
    <n v="2500"/>
  </r>
  <r>
    <s v="KL-2018-5607175"/>
    <x v="186"/>
    <s v="Blair Mccullough"/>
    <x v="4"/>
    <x v="5"/>
    <s v="Pune"/>
    <x v="2"/>
    <n v="3131"/>
    <n v="2380"/>
  </r>
  <r>
    <s v="KL-2018-5607176"/>
    <x v="187"/>
    <s v="Diana Guthrie"/>
    <x v="4"/>
    <x v="5"/>
    <s v="Pune"/>
    <x v="2"/>
    <n v="3825"/>
    <n v="2333"/>
  </r>
  <r>
    <s v="KL-2018-5607177"/>
    <x v="188"/>
    <s v="Neville Ashley"/>
    <x v="4"/>
    <x v="5"/>
    <s v="Pune"/>
    <x v="2"/>
    <n v="4362"/>
    <n v="3446"/>
  </r>
  <r>
    <s v="KL-2018-5607178"/>
    <x v="189"/>
    <s v="Lani Bowers"/>
    <x v="0"/>
    <x v="0"/>
    <s v="Vienna"/>
    <x v="0"/>
    <n v="2934"/>
    <n v="1819"/>
  </r>
  <r>
    <s v="KL-2018-5607179"/>
    <x v="190"/>
    <s v="Lana Adkins"/>
    <x v="0"/>
    <x v="0"/>
    <s v="Vienna"/>
    <x v="0"/>
    <n v="4354"/>
    <n v="2787"/>
  </r>
  <r>
    <s v="KL-2018-5607180"/>
    <x v="191"/>
    <s v="Sopoline Noel"/>
    <x v="0"/>
    <x v="0"/>
    <s v="Vienna"/>
    <x v="0"/>
    <n v="2102"/>
    <n v="1534"/>
  </r>
  <r>
    <s v="KL-2018-5607181"/>
    <x v="192"/>
    <s v="Abbot Horton"/>
    <x v="1"/>
    <x v="1"/>
    <s v="Langen"/>
    <x v="0"/>
    <n v="3261"/>
    <n v="2446"/>
  </r>
  <r>
    <s v="KL-2018-5607182"/>
    <x v="193"/>
    <s v="Hedda Livingston"/>
    <x v="1"/>
    <x v="1"/>
    <s v="Langen"/>
    <x v="0"/>
    <n v="2577"/>
    <n v="1907"/>
  </r>
  <r>
    <s v="KL-2018-5607183"/>
    <x v="194"/>
    <s v="Henry Hodges"/>
    <x v="1"/>
    <x v="1"/>
    <s v="Langen"/>
    <x v="0"/>
    <n v="3131"/>
    <n v="1973"/>
  </r>
  <r>
    <s v="KL-2018-5607184"/>
    <x v="195"/>
    <s v="Aristotle Barrett"/>
    <x v="1"/>
    <x v="1"/>
    <s v="Langen"/>
    <x v="0"/>
    <n v="2683"/>
    <n v="1798"/>
  </r>
  <r>
    <s v="KL-2018-5607185"/>
    <x v="196"/>
    <s v="Wendy Neal"/>
    <x v="1"/>
    <x v="1"/>
    <s v="Langen"/>
    <x v="0"/>
    <n v="2613"/>
    <n v="1751"/>
  </r>
  <r>
    <s v="KL-2018-5607186"/>
    <x v="197"/>
    <s v="Raymond Mckenzie"/>
    <x v="2"/>
    <x v="2"/>
    <s v="Copenhagen"/>
    <x v="1"/>
    <n v="4076"/>
    <n v="2609"/>
  </r>
  <r>
    <s v="KL-2018-5607187"/>
    <x v="198"/>
    <s v="Zephr Hickman"/>
    <x v="3"/>
    <x v="3"/>
    <s v="Gandia"/>
    <x v="2"/>
    <n v="4400"/>
    <n v="3432"/>
  </r>
  <r>
    <s v="KL-2018-5607188"/>
    <x v="199"/>
    <s v="Georgia Kane"/>
    <x v="2"/>
    <x v="4"/>
    <s v="Esbjerg"/>
    <x v="1"/>
    <n v="2466"/>
    <n v="1603"/>
  </r>
  <r>
    <s v="KL-2018-5607189"/>
    <x v="200"/>
    <s v="Stella Dejesus"/>
    <x v="4"/>
    <x v="5"/>
    <s v="Mumbai"/>
    <x v="2"/>
    <n v="2137"/>
    <n v="1325"/>
  </r>
  <r>
    <s v="KL-2018-5607190"/>
    <x v="201"/>
    <s v="Dahlia Porter"/>
    <x v="4"/>
    <x v="6"/>
    <s v="Patna"/>
    <x v="2"/>
    <n v="4216"/>
    <n v="3162"/>
  </r>
  <r>
    <s v="KL-2018-5607191"/>
    <x v="202"/>
    <s v="Ria Foster"/>
    <x v="4"/>
    <x v="6"/>
    <s v="Patna"/>
    <x v="2"/>
    <n v="3165"/>
    <n v="2310"/>
  </r>
  <r>
    <s v="KL-2018-5607192"/>
    <x v="203"/>
    <s v="Kiona Moore"/>
    <x v="5"/>
    <x v="7"/>
    <s v="Villiers-sur-Marne"/>
    <x v="0"/>
    <n v="3263"/>
    <n v="2545"/>
  </r>
  <r>
    <s v="KL-2018-5607193"/>
    <x v="204"/>
    <s v="Guinevere Sullivan"/>
    <x v="1"/>
    <x v="8"/>
    <s v="Bielefeld"/>
    <x v="0"/>
    <n v="2946"/>
    <n v="2210"/>
  </r>
  <r>
    <s v="KL-2018-5607194"/>
    <x v="205"/>
    <s v="Ingrid Barnes"/>
    <x v="6"/>
    <x v="9"/>
    <s v="Leuven"/>
    <x v="0"/>
    <n v="2989"/>
    <n v="2212"/>
  </r>
  <r>
    <s v="KL-2018-5607195"/>
    <x v="206"/>
    <s v="Quinlan Holcomb"/>
    <x v="6"/>
    <x v="9"/>
    <s v="Leuven"/>
    <x v="0"/>
    <n v="3463"/>
    <n v="2770"/>
  </r>
  <r>
    <s v="KL-2018-5607196"/>
    <x v="207"/>
    <s v="Blair Mccullough"/>
    <x v="4"/>
    <x v="5"/>
    <s v="Pune"/>
    <x v="2"/>
    <n v="2677"/>
    <n v="2088"/>
  </r>
  <r>
    <s v="KL-2018-5607197"/>
    <x v="208"/>
    <s v="Diana Guthrie"/>
    <x v="4"/>
    <x v="5"/>
    <s v="Pune"/>
    <x v="2"/>
    <n v="2966"/>
    <n v="1928"/>
  </r>
  <r>
    <s v="KL-2018-5607198"/>
    <x v="209"/>
    <s v="Neville Ashley"/>
    <x v="4"/>
    <x v="5"/>
    <s v="Pune"/>
    <x v="2"/>
    <n v="2106"/>
    <n v="1516"/>
  </r>
  <r>
    <s v="KL-2018-5607199"/>
    <x v="210"/>
    <s v="Lani Bowers"/>
    <x v="0"/>
    <x v="0"/>
    <s v="Vienna"/>
    <x v="0"/>
    <n v="3664"/>
    <n v="2272"/>
  </r>
  <r>
    <s v="KL-2018-5607200"/>
    <x v="211"/>
    <s v="Lana Adkins"/>
    <x v="0"/>
    <x v="0"/>
    <s v="Vienna"/>
    <x v="0"/>
    <n v="3069"/>
    <n v="2240"/>
  </r>
  <r>
    <s v="KL-2018-5607201"/>
    <x v="212"/>
    <s v="Sopoline Noel"/>
    <x v="0"/>
    <x v="0"/>
    <s v="Vienna"/>
    <x v="0"/>
    <n v="3755"/>
    <n v="2516"/>
  </r>
  <r>
    <s v="KL-2018-5607202"/>
    <x v="213"/>
    <s v="Abbot Horton"/>
    <x v="1"/>
    <x v="1"/>
    <s v="Langen"/>
    <x v="0"/>
    <n v="3215"/>
    <n v="2058"/>
  </r>
  <r>
    <s v="KL-2018-5607203"/>
    <x v="214"/>
    <s v="Hedda Livingston"/>
    <x v="1"/>
    <x v="1"/>
    <s v="Langen"/>
    <x v="0"/>
    <n v="3685"/>
    <n v="2543"/>
  </r>
  <r>
    <s v="KL-2018-5607204"/>
    <x v="215"/>
    <s v="Henry Hodges"/>
    <x v="1"/>
    <x v="1"/>
    <s v="Langen"/>
    <x v="0"/>
    <n v="4015"/>
    <n v="2730"/>
  </r>
  <r>
    <s v="KL-2018-5607205"/>
    <x v="216"/>
    <s v="Aristotle Barrett"/>
    <x v="1"/>
    <x v="1"/>
    <s v="Langen"/>
    <x v="0"/>
    <n v="2517"/>
    <n v="1661"/>
  </r>
  <r>
    <s v="KL-2018-5607206"/>
    <x v="217"/>
    <s v="Wendy Neal"/>
    <x v="1"/>
    <x v="1"/>
    <s v="Langen"/>
    <x v="0"/>
    <n v="2598"/>
    <n v="1793"/>
  </r>
  <r>
    <s v="KL-2018-5607207"/>
    <x v="218"/>
    <s v="Raymond Mckenzie"/>
    <x v="2"/>
    <x v="2"/>
    <s v="Copenhagen"/>
    <x v="1"/>
    <n v="3513"/>
    <n v="2740"/>
  </r>
  <r>
    <s v="KL-2018-5607208"/>
    <x v="219"/>
    <s v="Zephr Hickman"/>
    <x v="3"/>
    <x v="3"/>
    <s v="Gandia"/>
    <x v="2"/>
    <n v="2247"/>
    <n v="1775"/>
  </r>
  <r>
    <s v="KL-2018-5607209"/>
    <x v="220"/>
    <s v="Georgia Kane"/>
    <x v="2"/>
    <x v="4"/>
    <s v="Esbjerg"/>
    <x v="1"/>
    <n v="2878"/>
    <n v="1784"/>
  </r>
  <r>
    <s v="KL-2018-5607210"/>
    <x v="221"/>
    <s v="Stella Dejesus"/>
    <x v="4"/>
    <x v="5"/>
    <s v="Mumbai"/>
    <x v="2"/>
    <n v="3425"/>
    <n v="2706"/>
  </r>
  <r>
    <s v="KL-2018-5607211"/>
    <x v="222"/>
    <s v="Dahlia Porter"/>
    <x v="4"/>
    <x v="6"/>
    <s v="Patna"/>
    <x v="2"/>
    <n v="2865"/>
    <n v="2091"/>
  </r>
  <r>
    <s v="KL-2018-5607212"/>
    <x v="223"/>
    <s v="Ria Foster"/>
    <x v="4"/>
    <x v="6"/>
    <s v="Patna"/>
    <x v="2"/>
    <n v="2393"/>
    <n v="1723"/>
  </r>
  <r>
    <s v="KL-2018-5607213"/>
    <x v="224"/>
    <s v="Kiona Moore"/>
    <x v="5"/>
    <x v="7"/>
    <s v="Villiers-sur-Marne"/>
    <x v="0"/>
    <n v="3149"/>
    <n v="2299"/>
  </r>
  <r>
    <s v="KL-2018-5607214"/>
    <x v="225"/>
    <s v="Guinevere Sullivan"/>
    <x v="1"/>
    <x v="8"/>
    <s v="Bielefeld"/>
    <x v="0"/>
    <n v="3277"/>
    <n v="2130"/>
  </r>
  <r>
    <s v="KL-2018-5607215"/>
    <x v="226"/>
    <s v="Ingrid Barnes"/>
    <x v="6"/>
    <x v="9"/>
    <s v="Leuven"/>
    <x v="0"/>
    <n v="2713"/>
    <n v="1682"/>
  </r>
  <r>
    <s v="KL-2018-5607216"/>
    <x v="227"/>
    <s v="Quinlan Holcomb"/>
    <x v="6"/>
    <x v="9"/>
    <s v="Leuven"/>
    <x v="0"/>
    <n v="3381"/>
    <n v="2231"/>
  </r>
  <r>
    <s v="KL-2018-5607217"/>
    <x v="228"/>
    <s v="Blair Mccullough"/>
    <x v="4"/>
    <x v="5"/>
    <s v="Pune"/>
    <x v="2"/>
    <n v="2545"/>
    <n v="2011"/>
  </r>
  <r>
    <s v="KL-2018-5607218"/>
    <x v="229"/>
    <s v="Diana Guthrie"/>
    <x v="4"/>
    <x v="5"/>
    <s v="Pune"/>
    <x v="2"/>
    <n v="4473"/>
    <n v="2729"/>
  </r>
  <r>
    <s v="KL-2018-5607219"/>
    <x v="230"/>
    <s v="Neville Ashley"/>
    <x v="4"/>
    <x v="5"/>
    <s v="Pune"/>
    <x v="2"/>
    <n v="3332"/>
    <n v="2132"/>
  </r>
  <r>
    <s v="KL-2018-5607220"/>
    <x v="231"/>
    <s v="Lani Bowers"/>
    <x v="0"/>
    <x v="0"/>
    <s v="Vienna"/>
    <x v="0"/>
    <n v="2283"/>
    <n v="1438"/>
  </r>
  <r>
    <s v="KL-2018-5607221"/>
    <x v="232"/>
    <s v="Lana Adkins"/>
    <x v="0"/>
    <x v="0"/>
    <s v="Vienna"/>
    <x v="0"/>
    <n v="2696"/>
    <n v="1833"/>
  </r>
  <r>
    <s v="KL-2018-5607222"/>
    <x v="233"/>
    <s v="Sopoline Noel"/>
    <x v="0"/>
    <x v="0"/>
    <s v="Vienna"/>
    <x v="0"/>
    <n v="4061"/>
    <n v="3127"/>
  </r>
  <r>
    <s v="KL-2018-5607223"/>
    <x v="234"/>
    <s v="Abbot Horton"/>
    <x v="1"/>
    <x v="1"/>
    <s v="Langen"/>
    <x v="0"/>
    <n v="2382"/>
    <n v="1548"/>
  </r>
  <r>
    <s v="KL-2018-5607224"/>
    <x v="235"/>
    <s v="Hedda Livingston"/>
    <x v="1"/>
    <x v="1"/>
    <s v="Langen"/>
    <x v="0"/>
    <n v="4336"/>
    <n v="2602"/>
  </r>
  <r>
    <s v="KL-2018-5607225"/>
    <x v="236"/>
    <s v="Henry Hodges"/>
    <x v="1"/>
    <x v="1"/>
    <s v="Langen"/>
    <x v="0"/>
    <n v="2602"/>
    <n v="2004"/>
  </r>
  <r>
    <s v="KL-2018-5607226"/>
    <x v="237"/>
    <s v="Aristotle Barrett"/>
    <x v="1"/>
    <x v="1"/>
    <s v="Langen"/>
    <x v="0"/>
    <n v="3094"/>
    <n v="2073"/>
  </r>
  <r>
    <s v="KL-2018-5607227"/>
    <x v="238"/>
    <s v="Wendy Neal"/>
    <x v="1"/>
    <x v="1"/>
    <s v="Langen"/>
    <x v="0"/>
    <n v="3510"/>
    <n v="2141"/>
  </r>
  <r>
    <s v="KL-2018-5607228"/>
    <x v="239"/>
    <s v="Raymond Mckenzie"/>
    <x v="2"/>
    <x v="2"/>
    <s v="Copenhagen"/>
    <x v="1"/>
    <n v="2134"/>
    <n v="1536"/>
  </r>
  <r>
    <s v="KL-2018-5607229"/>
    <x v="240"/>
    <s v="Zephr Hickman"/>
    <x v="3"/>
    <x v="3"/>
    <s v="Gandia"/>
    <x v="2"/>
    <n v="2661"/>
    <n v="2022"/>
  </r>
  <r>
    <s v="KL-2018-5607230"/>
    <x v="241"/>
    <s v="Georgia Kane"/>
    <x v="2"/>
    <x v="4"/>
    <s v="Esbjerg"/>
    <x v="1"/>
    <n v="2901"/>
    <n v="1741"/>
  </r>
  <r>
    <s v="KL-2018-5607231"/>
    <x v="242"/>
    <s v="Stella Dejesus"/>
    <x v="4"/>
    <x v="5"/>
    <s v="Mumbai"/>
    <x v="2"/>
    <n v="3784"/>
    <n v="2384"/>
  </r>
  <r>
    <s v="KL-2018-5607232"/>
    <x v="243"/>
    <s v="Dahlia Porter"/>
    <x v="4"/>
    <x v="6"/>
    <s v="Patna"/>
    <x v="2"/>
    <n v="3135"/>
    <n v="2445"/>
  </r>
  <r>
    <s v="KL-2018-5607233"/>
    <x v="244"/>
    <s v="Ria Foster"/>
    <x v="4"/>
    <x v="6"/>
    <s v="Patna"/>
    <x v="2"/>
    <n v="2802"/>
    <n v="1877"/>
  </r>
  <r>
    <s v="KL-2018-5607234"/>
    <x v="245"/>
    <s v="Kiona Moore"/>
    <x v="5"/>
    <x v="7"/>
    <s v="Villiers-sur-Marne"/>
    <x v="0"/>
    <n v="3486"/>
    <n v="2789"/>
  </r>
  <r>
    <s v="KL-2018-5607235"/>
    <x v="246"/>
    <s v="Guinevere Sullivan"/>
    <x v="1"/>
    <x v="8"/>
    <s v="Bielefeld"/>
    <x v="0"/>
    <n v="3422"/>
    <n v="2122"/>
  </r>
  <r>
    <s v="KL-2018-5607236"/>
    <x v="247"/>
    <s v="Ingrid Barnes"/>
    <x v="6"/>
    <x v="9"/>
    <s v="Leuven"/>
    <x v="0"/>
    <n v="2842"/>
    <n v="2188"/>
  </r>
  <r>
    <s v="KL-2018-5607237"/>
    <x v="248"/>
    <s v="Quinlan Holcomb"/>
    <x v="6"/>
    <x v="9"/>
    <s v="Leuven"/>
    <x v="0"/>
    <n v="3846"/>
    <n v="2500"/>
  </r>
  <r>
    <s v="KL-2018-5607238"/>
    <x v="249"/>
    <s v="Blair Mccullough"/>
    <x v="4"/>
    <x v="5"/>
    <s v="Pune"/>
    <x v="2"/>
    <n v="3131"/>
    <n v="2380"/>
  </r>
  <r>
    <s v="KL-2018-5607239"/>
    <x v="250"/>
    <s v="Diana Guthrie"/>
    <x v="4"/>
    <x v="5"/>
    <s v="Pune"/>
    <x v="2"/>
    <n v="3825"/>
    <n v="2333"/>
  </r>
  <r>
    <s v="KL-2018-5607240"/>
    <x v="251"/>
    <s v="Neville Ashley"/>
    <x v="4"/>
    <x v="5"/>
    <s v="Pune"/>
    <x v="2"/>
    <n v="4362"/>
    <n v="3446"/>
  </r>
  <r>
    <s v="KL-2018-5607241"/>
    <x v="252"/>
    <s v="Lani Bowers"/>
    <x v="0"/>
    <x v="0"/>
    <s v="Vienna"/>
    <x v="0"/>
    <n v="2934"/>
    <n v="1819"/>
  </r>
  <r>
    <s v="KL-2018-5607242"/>
    <x v="253"/>
    <s v="Lana Adkins"/>
    <x v="0"/>
    <x v="0"/>
    <s v="Vienna"/>
    <x v="0"/>
    <n v="4354"/>
    <n v="2787"/>
  </r>
  <r>
    <s v="KL-2018-5607243"/>
    <x v="254"/>
    <s v="Sopoline Noel"/>
    <x v="0"/>
    <x v="0"/>
    <s v="Vienna"/>
    <x v="0"/>
    <n v="2102"/>
    <n v="1534"/>
  </r>
  <r>
    <s v="KL-2018-5607244"/>
    <x v="255"/>
    <s v="Abbot Horton"/>
    <x v="1"/>
    <x v="1"/>
    <s v="Langen"/>
    <x v="0"/>
    <n v="3261"/>
    <n v="2446"/>
  </r>
  <r>
    <s v="KL-2018-5607245"/>
    <x v="256"/>
    <s v="Hedda Livingston"/>
    <x v="1"/>
    <x v="1"/>
    <s v="Langen"/>
    <x v="0"/>
    <n v="2577"/>
    <n v="1907"/>
  </r>
  <r>
    <s v="KL-2018-5607246"/>
    <x v="257"/>
    <s v="Henry Hodges"/>
    <x v="1"/>
    <x v="1"/>
    <s v="Langen"/>
    <x v="0"/>
    <n v="3131"/>
    <n v="1973"/>
  </r>
  <r>
    <s v="KL-2018-5607247"/>
    <x v="258"/>
    <s v="Aristotle Barrett"/>
    <x v="1"/>
    <x v="1"/>
    <s v="Langen"/>
    <x v="0"/>
    <n v="2683"/>
    <n v="1798"/>
  </r>
  <r>
    <s v="KL-2018-5607248"/>
    <x v="259"/>
    <s v="Wendy Neal"/>
    <x v="1"/>
    <x v="1"/>
    <s v="Langen"/>
    <x v="0"/>
    <n v="2613"/>
    <n v="1751"/>
  </r>
  <r>
    <s v="KL-2018-5607249"/>
    <x v="260"/>
    <s v="Raymond Mckenzie"/>
    <x v="2"/>
    <x v="2"/>
    <s v="Copenhagen"/>
    <x v="1"/>
    <n v="4076"/>
    <n v="2609"/>
  </r>
  <r>
    <s v="KL-2018-5607250"/>
    <x v="261"/>
    <s v="Zephr Hickman"/>
    <x v="3"/>
    <x v="3"/>
    <s v="Gandia"/>
    <x v="2"/>
    <n v="4400"/>
    <n v="3432"/>
  </r>
  <r>
    <s v="KL-2018-5607251"/>
    <x v="262"/>
    <s v="Georgia Kane"/>
    <x v="2"/>
    <x v="4"/>
    <s v="Esbjerg"/>
    <x v="1"/>
    <n v="2466"/>
    <n v="1603"/>
  </r>
  <r>
    <s v="KL-2018-5607252"/>
    <x v="263"/>
    <s v="Stella Dejesus"/>
    <x v="4"/>
    <x v="5"/>
    <s v="Mumbai"/>
    <x v="2"/>
    <n v="2137"/>
    <n v="1325"/>
  </r>
  <r>
    <s v="KL-2018-5607253"/>
    <x v="264"/>
    <s v="Dahlia Porter"/>
    <x v="4"/>
    <x v="6"/>
    <s v="Patna"/>
    <x v="2"/>
    <n v="4216"/>
    <n v="3162"/>
  </r>
  <r>
    <s v="KL-2018-5607254"/>
    <x v="265"/>
    <s v="Ria Foster"/>
    <x v="4"/>
    <x v="6"/>
    <s v="Patna"/>
    <x v="2"/>
    <n v="3165"/>
    <n v="2310"/>
  </r>
  <r>
    <s v="KL-2018-5607255"/>
    <x v="266"/>
    <s v="Kiona Moore"/>
    <x v="5"/>
    <x v="7"/>
    <s v="Villiers-sur-Marne"/>
    <x v="0"/>
    <n v="3263"/>
    <n v="2545"/>
  </r>
  <r>
    <s v="KL-2018-5607256"/>
    <x v="267"/>
    <s v="Guinevere Sullivan"/>
    <x v="1"/>
    <x v="8"/>
    <s v="Bielefeld"/>
    <x v="0"/>
    <n v="2946"/>
    <n v="2210"/>
  </r>
  <r>
    <s v="KL-2018-5607257"/>
    <x v="268"/>
    <s v="Ingrid Barnes"/>
    <x v="6"/>
    <x v="9"/>
    <s v="Leuven"/>
    <x v="0"/>
    <n v="2989"/>
    <n v="2212"/>
  </r>
  <r>
    <s v="KL-2018-5607258"/>
    <x v="269"/>
    <s v="Quinlan Holcomb"/>
    <x v="6"/>
    <x v="9"/>
    <s v="Leuven"/>
    <x v="0"/>
    <n v="3463"/>
    <n v="2770"/>
  </r>
  <r>
    <s v="KL-2018-5607259"/>
    <x v="270"/>
    <s v="Blair Mccullough"/>
    <x v="4"/>
    <x v="5"/>
    <s v="Pune"/>
    <x v="2"/>
    <n v="2677"/>
    <n v="2088"/>
  </r>
  <r>
    <s v="KL-2018-5607260"/>
    <x v="271"/>
    <s v="Diana Guthrie"/>
    <x v="4"/>
    <x v="5"/>
    <s v="Pune"/>
    <x v="2"/>
    <n v="2966"/>
    <n v="1928"/>
  </r>
  <r>
    <s v="KL-2018-5607261"/>
    <x v="272"/>
    <s v="Neville Ashley"/>
    <x v="4"/>
    <x v="5"/>
    <s v="Pune"/>
    <x v="2"/>
    <n v="2106"/>
    <n v="1516"/>
  </r>
  <r>
    <s v="KL-2018-5607262"/>
    <x v="273"/>
    <s v="Lani Bowers"/>
    <x v="0"/>
    <x v="0"/>
    <s v="Vienna"/>
    <x v="0"/>
    <n v="3664"/>
    <n v="2272"/>
  </r>
  <r>
    <s v="KL-2018-5607263"/>
    <x v="274"/>
    <s v="Lana Adkins"/>
    <x v="0"/>
    <x v="0"/>
    <s v="Vienna"/>
    <x v="0"/>
    <n v="3069"/>
    <n v="2240"/>
  </r>
  <r>
    <s v="KL-2018-5607264"/>
    <x v="275"/>
    <s v="Sopoline Noel"/>
    <x v="0"/>
    <x v="0"/>
    <s v="Vienna"/>
    <x v="0"/>
    <n v="3755"/>
    <n v="2516"/>
  </r>
  <r>
    <s v="KL-2018-5607265"/>
    <x v="276"/>
    <s v="Abbot Horton"/>
    <x v="1"/>
    <x v="1"/>
    <s v="Langen"/>
    <x v="0"/>
    <n v="3215"/>
    <n v="2058"/>
  </r>
  <r>
    <s v="KL-2018-5607266"/>
    <x v="277"/>
    <s v="Hedda Livingston"/>
    <x v="1"/>
    <x v="1"/>
    <s v="Langen"/>
    <x v="0"/>
    <n v="3685"/>
    <n v="2543"/>
  </r>
  <r>
    <s v="KL-2018-5607267"/>
    <x v="278"/>
    <s v="Henry Hodges"/>
    <x v="1"/>
    <x v="1"/>
    <s v="Langen"/>
    <x v="0"/>
    <n v="4015"/>
    <n v="2730"/>
  </r>
  <r>
    <s v="KL-2018-5607268"/>
    <x v="279"/>
    <s v="Aristotle Barrett"/>
    <x v="1"/>
    <x v="1"/>
    <s v="Langen"/>
    <x v="0"/>
    <n v="2517"/>
    <n v="1661"/>
  </r>
  <r>
    <s v="KL-2018-5607269"/>
    <x v="280"/>
    <s v="Wendy Neal"/>
    <x v="1"/>
    <x v="1"/>
    <s v="Langen"/>
    <x v="0"/>
    <n v="2598"/>
    <n v="1793"/>
  </r>
  <r>
    <s v="KL-2018-5607270"/>
    <x v="281"/>
    <s v="Raymond Mckenzie"/>
    <x v="2"/>
    <x v="2"/>
    <s v="Copenhagen"/>
    <x v="1"/>
    <n v="3513"/>
    <n v="2740"/>
  </r>
  <r>
    <s v="KL-2018-5607271"/>
    <x v="282"/>
    <s v="Zephr Hickman"/>
    <x v="3"/>
    <x v="3"/>
    <s v="Gandia"/>
    <x v="2"/>
    <n v="2247"/>
    <n v="1775"/>
  </r>
  <r>
    <s v="KL-2018-5607272"/>
    <x v="283"/>
    <s v="Georgia Kane"/>
    <x v="2"/>
    <x v="4"/>
    <s v="Esbjerg"/>
    <x v="1"/>
    <n v="2878"/>
    <n v="1784"/>
  </r>
  <r>
    <s v="KL-2018-5607273"/>
    <x v="284"/>
    <s v="Stella Dejesus"/>
    <x v="4"/>
    <x v="5"/>
    <s v="Mumbai"/>
    <x v="2"/>
    <n v="3425"/>
    <n v="2706"/>
  </r>
  <r>
    <s v="KL-2018-5607274"/>
    <x v="285"/>
    <s v="Dahlia Porter"/>
    <x v="4"/>
    <x v="6"/>
    <s v="Patna"/>
    <x v="2"/>
    <n v="2865"/>
    <n v="2091"/>
  </r>
  <r>
    <s v="KL-2018-5607275"/>
    <x v="286"/>
    <s v="Ria Foster"/>
    <x v="4"/>
    <x v="6"/>
    <s v="Patna"/>
    <x v="2"/>
    <n v="2393"/>
    <n v="1723"/>
  </r>
  <r>
    <s v="KL-2018-5607276"/>
    <x v="287"/>
    <s v="Kiona Moore"/>
    <x v="5"/>
    <x v="7"/>
    <s v="Villiers-sur-Marne"/>
    <x v="0"/>
    <n v="3149"/>
    <n v="2299"/>
  </r>
  <r>
    <s v="KL-2018-5607277"/>
    <x v="288"/>
    <s v="Guinevere Sullivan"/>
    <x v="1"/>
    <x v="8"/>
    <s v="Bielefeld"/>
    <x v="0"/>
    <n v="3277"/>
    <n v="2130"/>
  </r>
  <r>
    <s v="KL-2018-5607278"/>
    <x v="289"/>
    <s v="Ingrid Barnes"/>
    <x v="6"/>
    <x v="9"/>
    <s v="Leuven"/>
    <x v="0"/>
    <n v="2713"/>
    <n v="1682"/>
  </r>
  <r>
    <s v="KL-2018-5607279"/>
    <x v="290"/>
    <s v="Quinlan Holcomb"/>
    <x v="6"/>
    <x v="9"/>
    <s v="Leuven"/>
    <x v="0"/>
    <n v="3381"/>
    <n v="2231"/>
  </r>
  <r>
    <s v="KL-2018-5607280"/>
    <x v="291"/>
    <s v="Blair Mccullough"/>
    <x v="4"/>
    <x v="5"/>
    <s v="Pune"/>
    <x v="2"/>
    <n v="2545"/>
    <n v="2011"/>
  </r>
  <r>
    <s v="KL-2018-5607281"/>
    <x v="292"/>
    <s v="Diana Guthrie"/>
    <x v="4"/>
    <x v="5"/>
    <s v="Pune"/>
    <x v="2"/>
    <n v="4473"/>
    <n v="2729"/>
  </r>
  <r>
    <s v="KL-2018-5607282"/>
    <x v="293"/>
    <s v="Neville Ashley"/>
    <x v="4"/>
    <x v="5"/>
    <s v="Pune"/>
    <x v="2"/>
    <n v="3332"/>
    <n v="2132"/>
  </r>
  <r>
    <s v="KL-2018-5607283"/>
    <x v="294"/>
    <s v="Lani Bowers"/>
    <x v="0"/>
    <x v="0"/>
    <s v="Vienna"/>
    <x v="0"/>
    <n v="2283"/>
    <n v="1438"/>
  </r>
  <r>
    <s v="KL-2018-5607284"/>
    <x v="295"/>
    <s v="Lana Adkins"/>
    <x v="0"/>
    <x v="0"/>
    <s v="Vienna"/>
    <x v="0"/>
    <n v="2696"/>
    <n v="1833"/>
  </r>
  <r>
    <s v="KL-2018-5607285"/>
    <x v="296"/>
    <s v="Sopoline Noel"/>
    <x v="0"/>
    <x v="0"/>
    <s v="Vienna"/>
    <x v="0"/>
    <n v="4061"/>
    <n v="3127"/>
  </r>
  <r>
    <s v="KL-2018-5607286"/>
    <x v="297"/>
    <s v="Abbot Horton"/>
    <x v="1"/>
    <x v="1"/>
    <s v="Langen"/>
    <x v="0"/>
    <n v="2382"/>
    <n v="1548"/>
  </r>
  <r>
    <s v="KL-2018-5607287"/>
    <x v="298"/>
    <s v="Hedda Livingston"/>
    <x v="1"/>
    <x v="1"/>
    <s v="Langen"/>
    <x v="0"/>
    <n v="4336"/>
    <n v="2602"/>
  </r>
  <r>
    <s v="KL-2018-5607288"/>
    <x v="299"/>
    <s v="Henry Hodges"/>
    <x v="1"/>
    <x v="1"/>
    <s v="Langen"/>
    <x v="0"/>
    <n v="2602"/>
    <n v="2004"/>
  </r>
  <r>
    <s v="KL-2018-5607289"/>
    <x v="300"/>
    <s v="Aristotle Barrett"/>
    <x v="1"/>
    <x v="1"/>
    <s v="Langen"/>
    <x v="0"/>
    <n v="3094"/>
    <n v="2073"/>
  </r>
  <r>
    <s v="KL-2018-5607290"/>
    <x v="301"/>
    <s v="Wendy Neal"/>
    <x v="1"/>
    <x v="1"/>
    <s v="Langen"/>
    <x v="0"/>
    <n v="3510"/>
    <n v="2141"/>
  </r>
  <r>
    <s v="KL-2018-5607291"/>
    <x v="302"/>
    <s v="Raymond Mckenzie"/>
    <x v="2"/>
    <x v="2"/>
    <s v="Copenhagen"/>
    <x v="1"/>
    <n v="2134"/>
    <n v="1536"/>
  </r>
  <r>
    <s v="KL-2018-5607292"/>
    <x v="303"/>
    <s v="Zephr Hickman"/>
    <x v="3"/>
    <x v="3"/>
    <s v="Gandia"/>
    <x v="2"/>
    <n v="2661"/>
    <n v="2022"/>
  </r>
  <r>
    <s v="KL-2018-5607293"/>
    <x v="304"/>
    <s v="Georgia Kane"/>
    <x v="2"/>
    <x v="4"/>
    <s v="Esbjerg"/>
    <x v="1"/>
    <n v="2901"/>
    <n v="1741"/>
  </r>
  <r>
    <s v="KL-2018-5607294"/>
    <x v="305"/>
    <s v="Stella Dejesus"/>
    <x v="4"/>
    <x v="5"/>
    <s v="Mumbai"/>
    <x v="2"/>
    <n v="3784"/>
    <n v="2384"/>
  </r>
  <r>
    <s v="KL-2018-5607295"/>
    <x v="306"/>
    <s v="Dahlia Porter"/>
    <x v="4"/>
    <x v="6"/>
    <s v="Patna"/>
    <x v="2"/>
    <n v="3135"/>
    <n v="2445"/>
  </r>
  <r>
    <s v="KL-2018-5607296"/>
    <x v="307"/>
    <s v="Ria Foster"/>
    <x v="4"/>
    <x v="6"/>
    <s v="Patna"/>
    <x v="2"/>
    <n v="2802"/>
    <n v="1877"/>
  </r>
  <r>
    <s v="KL-2018-5607297"/>
    <x v="308"/>
    <s v="Kiona Moore"/>
    <x v="5"/>
    <x v="7"/>
    <s v="Villiers-sur-Marne"/>
    <x v="0"/>
    <n v="3486"/>
    <n v="2789"/>
  </r>
  <r>
    <s v="KL-2018-5607298"/>
    <x v="309"/>
    <s v="Guinevere Sullivan"/>
    <x v="1"/>
    <x v="8"/>
    <s v="Bielefeld"/>
    <x v="0"/>
    <n v="3422"/>
    <n v="2122"/>
  </r>
  <r>
    <s v="KL-2018-5607299"/>
    <x v="310"/>
    <s v="Ingrid Barnes"/>
    <x v="6"/>
    <x v="9"/>
    <s v="Leuven"/>
    <x v="0"/>
    <n v="2842"/>
    <n v="2188"/>
  </r>
  <r>
    <s v="KL-2018-5607300"/>
    <x v="311"/>
    <s v="Quinlan Holcomb"/>
    <x v="6"/>
    <x v="9"/>
    <s v="Leuven"/>
    <x v="0"/>
    <n v="3846"/>
    <n v="2500"/>
  </r>
  <r>
    <s v="KL-2018-5607301"/>
    <x v="312"/>
    <s v="Blair Mccullough"/>
    <x v="4"/>
    <x v="5"/>
    <s v="Pune"/>
    <x v="2"/>
    <n v="3131"/>
    <n v="2380"/>
  </r>
  <r>
    <s v="KL-2018-5607302"/>
    <x v="313"/>
    <s v="Diana Guthrie"/>
    <x v="4"/>
    <x v="5"/>
    <s v="Pune"/>
    <x v="2"/>
    <n v="3825"/>
    <n v="2333"/>
  </r>
  <r>
    <s v="KL-2018-5607303"/>
    <x v="314"/>
    <s v="Neville Ashley"/>
    <x v="4"/>
    <x v="5"/>
    <s v="Pune"/>
    <x v="2"/>
    <n v="4362"/>
    <n v="3446"/>
  </r>
  <r>
    <s v="KL-2018-5607304"/>
    <x v="315"/>
    <s v="Lani Bowers"/>
    <x v="0"/>
    <x v="0"/>
    <s v="Vienna"/>
    <x v="0"/>
    <n v="2934"/>
    <n v="1819"/>
  </r>
  <r>
    <s v="KL-2018-5607305"/>
    <x v="316"/>
    <s v="Lana Adkins"/>
    <x v="0"/>
    <x v="0"/>
    <s v="Vienna"/>
    <x v="0"/>
    <n v="4354"/>
    <n v="2787"/>
  </r>
  <r>
    <s v="KL-2018-5607306"/>
    <x v="317"/>
    <s v="Sopoline Noel"/>
    <x v="0"/>
    <x v="0"/>
    <s v="Vienna"/>
    <x v="0"/>
    <n v="2102"/>
    <n v="1534"/>
  </r>
  <r>
    <s v="KL-2018-5607307"/>
    <x v="318"/>
    <s v="Abbot Horton"/>
    <x v="1"/>
    <x v="1"/>
    <s v="Langen"/>
    <x v="0"/>
    <n v="3261"/>
    <n v="2446"/>
  </r>
  <r>
    <s v="KL-2018-5607308"/>
    <x v="319"/>
    <s v="Hedda Livingston"/>
    <x v="1"/>
    <x v="1"/>
    <s v="Langen"/>
    <x v="0"/>
    <n v="2577"/>
    <n v="1907"/>
  </r>
  <r>
    <s v="KL-2018-5607309"/>
    <x v="320"/>
    <s v="Henry Hodges"/>
    <x v="1"/>
    <x v="1"/>
    <s v="Langen"/>
    <x v="0"/>
    <n v="3131"/>
    <n v="1973"/>
  </r>
  <r>
    <s v="KL-2018-5607310"/>
    <x v="321"/>
    <s v="Aristotle Barrett"/>
    <x v="1"/>
    <x v="1"/>
    <s v="Langen"/>
    <x v="0"/>
    <n v="2683"/>
    <n v="1798"/>
  </r>
  <r>
    <s v="KL-2018-5607311"/>
    <x v="322"/>
    <s v="Wendy Neal"/>
    <x v="1"/>
    <x v="1"/>
    <s v="Langen"/>
    <x v="0"/>
    <n v="2613"/>
    <n v="1751"/>
  </r>
  <r>
    <s v="KL-2018-5607312"/>
    <x v="323"/>
    <s v="Raymond Mckenzie"/>
    <x v="2"/>
    <x v="2"/>
    <s v="Copenhagen"/>
    <x v="1"/>
    <n v="4076"/>
    <n v="2609"/>
  </r>
  <r>
    <s v="KL-2018-5607313"/>
    <x v="324"/>
    <s v="Zephr Hickman"/>
    <x v="3"/>
    <x v="3"/>
    <s v="Gandia"/>
    <x v="2"/>
    <n v="4400"/>
    <n v="3432"/>
  </r>
  <r>
    <s v="KL-2018-5607314"/>
    <x v="325"/>
    <s v="Georgia Kane"/>
    <x v="2"/>
    <x v="4"/>
    <s v="Esbjerg"/>
    <x v="1"/>
    <n v="2466"/>
    <n v="1603"/>
  </r>
  <r>
    <s v="KL-2018-5607315"/>
    <x v="326"/>
    <s v="Stella Dejesus"/>
    <x v="4"/>
    <x v="5"/>
    <s v="Mumbai"/>
    <x v="2"/>
    <n v="2137"/>
    <n v="1325"/>
  </r>
  <r>
    <s v="KL-2018-5607316"/>
    <x v="327"/>
    <s v="Dahlia Porter"/>
    <x v="4"/>
    <x v="6"/>
    <s v="Patna"/>
    <x v="2"/>
    <n v="4216"/>
    <n v="3162"/>
  </r>
  <r>
    <s v="KL-2018-5607317"/>
    <x v="328"/>
    <s v="Ria Foster"/>
    <x v="4"/>
    <x v="6"/>
    <s v="Patna"/>
    <x v="2"/>
    <n v="3165"/>
    <n v="2310"/>
  </r>
  <r>
    <s v="KL-2018-5607318"/>
    <x v="329"/>
    <s v="Kiona Moore"/>
    <x v="5"/>
    <x v="7"/>
    <s v="Villiers-sur-Marne"/>
    <x v="0"/>
    <n v="3263"/>
    <n v="2545"/>
  </r>
  <r>
    <s v="KL-2018-5607319"/>
    <x v="330"/>
    <s v="Guinevere Sullivan"/>
    <x v="1"/>
    <x v="8"/>
    <s v="Bielefeld"/>
    <x v="0"/>
    <n v="2946"/>
    <n v="2210"/>
  </r>
  <r>
    <s v="KL-2018-5607320"/>
    <x v="331"/>
    <s v="Ingrid Barnes"/>
    <x v="6"/>
    <x v="9"/>
    <s v="Leuven"/>
    <x v="0"/>
    <n v="2989"/>
    <n v="2212"/>
  </r>
  <r>
    <s v="KL-2018-5607321"/>
    <x v="332"/>
    <s v="Quinlan Holcomb"/>
    <x v="6"/>
    <x v="9"/>
    <s v="Leuven"/>
    <x v="0"/>
    <n v="3463"/>
    <n v="2770"/>
  </r>
  <r>
    <s v="KL-2018-5607322"/>
    <x v="333"/>
    <s v="Blair Mccullough"/>
    <x v="4"/>
    <x v="5"/>
    <s v="Pune"/>
    <x v="2"/>
    <n v="2677"/>
    <n v="2088"/>
  </r>
  <r>
    <s v="KL-2018-5607323"/>
    <x v="334"/>
    <s v="Diana Guthrie"/>
    <x v="4"/>
    <x v="5"/>
    <s v="Pune"/>
    <x v="2"/>
    <n v="2966"/>
    <n v="1928"/>
  </r>
  <r>
    <s v="KL-2018-5607324"/>
    <x v="335"/>
    <s v="Neville Ashley"/>
    <x v="4"/>
    <x v="5"/>
    <s v="Pune"/>
    <x v="2"/>
    <n v="2106"/>
    <n v="1516"/>
  </r>
  <r>
    <s v="KL-2018-5607325"/>
    <x v="336"/>
    <s v="Lani Bowers"/>
    <x v="0"/>
    <x v="0"/>
    <s v="Vienna"/>
    <x v="0"/>
    <n v="3664"/>
    <n v="2272"/>
  </r>
  <r>
    <s v="KL-2018-5607326"/>
    <x v="337"/>
    <s v="Lana Adkins"/>
    <x v="0"/>
    <x v="0"/>
    <s v="Vienna"/>
    <x v="0"/>
    <n v="3069"/>
    <n v="2240"/>
  </r>
  <r>
    <s v="KL-2018-5607327"/>
    <x v="338"/>
    <s v="Sopoline Noel"/>
    <x v="0"/>
    <x v="0"/>
    <s v="Vienna"/>
    <x v="0"/>
    <n v="3755"/>
    <n v="2516"/>
  </r>
  <r>
    <s v="KL-2018-5607328"/>
    <x v="339"/>
    <s v="Abbot Horton"/>
    <x v="1"/>
    <x v="1"/>
    <s v="Langen"/>
    <x v="0"/>
    <n v="3215"/>
    <n v="2058"/>
  </r>
  <r>
    <s v="KL-2018-5607329"/>
    <x v="340"/>
    <s v="Hedda Livingston"/>
    <x v="1"/>
    <x v="1"/>
    <s v="Langen"/>
    <x v="0"/>
    <n v="3685"/>
    <n v="2543"/>
  </r>
  <r>
    <s v="KL-2018-5607330"/>
    <x v="341"/>
    <s v="Henry Hodges"/>
    <x v="1"/>
    <x v="1"/>
    <s v="Langen"/>
    <x v="0"/>
    <n v="4015"/>
    <n v="2730"/>
  </r>
  <r>
    <s v="KL-2018-5607331"/>
    <x v="342"/>
    <s v="Aristotle Barrett"/>
    <x v="1"/>
    <x v="1"/>
    <s v="Langen"/>
    <x v="0"/>
    <n v="2517"/>
    <n v="1661"/>
  </r>
  <r>
    <s v="KL-2018-5607332"/>
    <x v="343"/>
    <s v="Wendy Neal"/>
    <x v="1"/>
    <x v="1"/>
    <s v="Langen"/>
    <x v="0"/>
    <n v="2598"/>
    <n v="1793"/>
  </r>
  <r>
    <s v="KL-2018-5607333"/>
    <x v="344"/>
    <s v="Raymond Mckenzie"/>
    <x v="2"/>
    <x v="2"/>
    <s v="Copenhagen"/>
    <x v="1"/>
    <n v="3513"/>
    <n v="2740"/>
  </r>
  <r>
    <s v="KL-2018-5607334"/>
    <x v="345"/>
    <s v="Zephr Hickman"/>
    <x v="3"/>
    <x v="3"/>
    <s v="Gandia"/>
    <x v="2"/>
    <n v="2247"/>
    <n v="1775"/>
  </r>
  <r>
    <s v="KL-2018-5607335"/>
    <x v="346"/>
    <s v="Georgia Kane"/>
    <x v="2"/>
    <x v="4"/>
    <s v="Esbjerg"/>
    <x v="1"/>
    <n v="2878"/>
    <n v="1784"/>
  </r>
  <r>
    <s v="KL-2018-5607336"/>
    <x v="347"/>
    <s v="Stella Dejesus"/>
    <x v="4"/>
    <x v="5"/>
    <s v="Mumbai"/>
    <x v="2"/>
    <n v="3425"/>
    <n v="2706"/>
  </r>
  <r>
    <s v="KL-2018-5607337"/>
    <x v="348"/>
    <s v="Dahlia Porter"/>
    <x v="4"/>
    <x v="6"/>
    <s v="Patna"/>
    <x v="2"/>
    <n v="2865"/>
    <n v="2091"/>
  </r>
  <r>
    <s v="KL-2018-5607338"/>
    <x v="349"/>
    <s v="Ria Foster"/>
    <x v="4"/>
    <x v="6"/>
    <s v="Patna"/>
    <x v="2"/>
    <n v="2393"/>
    <n v="1723"/>
  </r>
  <r>
    <s v="KL-2018-5607339"/>
    <x v="350"/>
    <s v="Kiona Moore"/>
    <x v="5"/>
    <x v="7"/>
    <s v="Villiers-sur-Marne"/>
    <x v="0"/>
    <n v="3149"/>
    <n v="2299"/>
  </r>
  <r>
    <s v="KL-2018-5607340"/>
    <x v="351"/>
    <s v="Guinevere Sullivan"/>
    <x v="1"/>
    <x v="8"/>
    <s v="Bielefeld"/>
    <x v="0"/>
    <n v="3277"/>
    <n v="2130"/>
  </r>
  <r>
    <s v="KL-2018-5607341"/>
    <x v="352"/>
    <s v="Ingrid Barnes"/>
    <x v="6"/>
    <x v="9"/>
    <s v="Leuven"/>
    <x v="0"/>
    <n v="2713"/>
    <n v="1682"/>
  </r>
  <r>
    <s v="KL-2018-5607342"/>
    <x v="353"/>
    <s v="Quinlan Holcomb"/>
    <x v="6"/>
    <x v="9"/>
    <s v="Leuven"/>
    <x v="0"/>
    <n v="3381"/>
    <n v="2231"/>
  </r>
  <r>
    <s v="KL-2018-5607343"/>
    <x v="354"/>
    <s v="Blair Mccullough"/>
    <x v="4"/>
    <x v="5"/>
    <s v="Pune"/>
    <x v="2"/>
    <n v="2545"/>
    <n v="2011"/>
  </r>
  <r>
    <s v="KL-2018-5607344"/>
    <x v="355"/>
    <s v="Diana Guthrie"/>
    <x v="4"/>
    <x v="5"/>
    <s v="Pune"/>
    <x v="2"/>
    <n v="4473"/>
    <n v="2729"/>
  </r>
  <r>
    <s v="KL-2018-5607345"/>
    <x v="356"/>
    <s v="Neville Ashley"/>
    <x v="4"/>
    <x v="5"/>
    <s v="Pune"/>
    <x v="2"/>
    <n v="3332"/>
    <n v="2132"/>
  </r>
  <r>
    <s v="KL-2018-5607346"/>
    <x v="357"/>
    <s v="Lani Bowers"/>
    <x v="0"/>
    <x v="0"/>
    <s v="Vienna"/>
    <x v="0"/>
    <n v="2283"/>
    <n v="1438"/>
  </r>
  <r>
    <s v="KL-2018-5607347"/>
    <x v="358"/>
    <s v="Lana Adkins"/>
    <x v="0"/>
    <x v="0"/>
    <s v="Vienna"/>
    <x v="0"/>
    <n v="2696"/>
    <n v="1833"/>
  </r>
  <r>
    <s v="KL-2018-5607348"/>
    <x v="359"/>
    <s v="Sopoline Noel"/>
    <x v="0"/>
    <x v="0"/>
    <s v="Vienna"/>
    <x v="0"/>
    <n v="4061"/>
    <n v="3127"/>
  </r>
  <r>
    <s v="KL-2018-5607349"/>
    <x v="360"/>
    <s v="Abbot Horton"/>
    <x v="1"/>
    <x v="1"/>
    <s v="Langen"/>
    <x v="0"/>
    <n v="2382"/>
    <n v="1548"/>
  </r>
  <r>
    <s v="KL-2018-5607350"/>
    <x v="361"/>
    <s v="Hedda Livingston"/>
    <x v="1"/>
    <x v="1"/>
    <s v="Langen"/>
    <x v="0"/>
    <n v="4336"/>
    <n v="2602"/>
  </r>
  <r>
    <s v="KL-2018-5607351"/>
    <x v="362"/>
    <s v="Henry Hodges"/>
    <x v="1"/>
    <x v="1"/>
    <s v="Langen"/>
    <x v="0"/>
    <n v="2602"/>
    <n v="2004"/>
  </r>
  <r>
    <s v="KL-2018-5607352"/>
    <x v="363"/>
    <s v="Aristotle Barrett"/>
    <x v="1"/>
    <x v="1"/>
    <s v="Langen"/>
    <x v="0"/>
    <n v="3094"/>
    <n v="2073"/>
  </r>
  <r>
    <s v="KL-2018-5607353"/>
    <x v="364"/>
    <s v="Wendy Neal"/>
    <x v="1"/>
    <x v="1"/>
    <s v="Langen"/>
    <x v="0"/>
    <n v="3510"/>
    <n v="21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13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location ref="A1:B5" firstHeaderRow="1" firstDataRow="1" firstDataCol="1"/>
  <pivotFields count="1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items count="8">
        <item x="0"/>
        <item x="6"/>
        <item x="2"/>
        <item x="5"/>
        <item x="1"/>
        <item x="4"/>
        <item x="3"/>
        <item t="default"/>
      </items>
    </pivotField>
    <pivotField showAll="0"/>
    <pivotField showAll="0"/>
    <pivotField axis="axisRow" showAll="0">
      <items count="4">
        <item x="0"/>
        <item x="1"/>
        <item x="2"/>
        <item t="default"/>
      </items>
    </pivotField>
    <pivotField dataField="1" showAll="0"/>
    <pivotField showAll="0"/>
    <pivotField showAll="0" defaultSubtotal="0">
      <items count="14">
        <item x="0"/>
        <item x="1"/>
        <item x="2"/>
        <item x="3"/>
        <item x="4"/>
        <item x="5"/>
        <item x="6"/>
        <item x="7"/>
        <item x="8"/>
        <item x="9"/>
        <item x="10"/>
        <item x="11"/>
        <item x="12"/>
        <item x="13"/>
      </items>
    </pivotField>
  </pivotFields>
  <rowFields count="1">
    <field x="6"/>
  </rowFields>
  <rowItems count="4">
    <i>
      <x/>
    </i>
    <i>
      <x v="1"/>
    </i>
    <i>
      <x v="2"/>
    </i>
    <i t="grand">
      <x/>
    </i>
  </rowItems>
  <colItems count="1">
    <i/>
  </colItems>
  <dataFields count="1">
    <dataField name="Sum of Sales" fld="7" baseField="0" baseItem="0"/>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3" cacheId="130" applyNumberFormats="0" applyBorderFormats="0" applyFontFormats="0" applyPatternFormats="0" applyAlignmentFormats="0" applyWidthHeightFormats="1" dataCaption="Values" updatedVersion="6" minRefreshableVersion="3" itemPrintTitles="1" createdVersion="6" indent="0" outline="1" outlineData="1" multipleFieldFilters="0">
  <location ref="A4:B15" firstHeaderRow="1" firstDataRow="1" firstDataCol="1"/>
  <pivotFields count="1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items count="8">
        <item x="0"/>
        <item x="6"/>
        <item x="2"/>
        <item x="5"/>
        <item x="1"/>
        <item x="4"/>
        <item x="3"/>
        <item t="default"/>
      </items>
    </pivotField>
    <pivotField axis="axisRow" showAll="0">
      <items count="11">
        <item x="6"/>
        <item x="9"/>
        <item x="2"/>
        <item x="7"/>
        <item x="1"/>
        <item x="5"/>
        <item x="8"/>
        <item x="4"/>
        <item x="3"/>
        <item x="0"/>
        <item t="default"/>
      </items>
    </pivotField>
    <pivotField showAll="0"/>
    <pivotField showAll="0">
      <items count="4">
        <item x="0"/>
        <item x="1"/>
        <item x="2"/>
        <item t="default"/>
      </items>
    </pivotField>
    <pivotField dataField="1" showAll="0"/>
    <pivotField showAll="0"/>
    <pivotField showAll="0" defaultSubtotal="0">
      <items count="14">
        <item x="0"/>
        <item x="1"/>
        <item x="2"/>
        <item x="3"/>
        <item x="4"/>
        <item x="5"/>
        <item x="6"/>
        <item x="7"/>
        <item x="8"/>
        <item x="9"/>
        <item x="10"/>
        <item x="11"/>
        <item x="12"/>
        <item x="13"/>
      </items>
    </pivotField>
  </pivotFields>
  <rowFields count="1">
    <field x="4"/>
  </rowFields>
  <rowItems count="11">
    <i>
      <x/>
    </i>
    <i>
      <x v="1"/>
    </i>
    <i>
      <x v="2"/>
    </i>
    <i>
      <x v="3"/>
    </i>
    <i>
      <x v="4"/>
    </i>
    <i>
      <x v="5"/>
    </i>
    <i>
      <x v="6"/>
    </i>
    <i>
      <x v="7"/>
    </i>
    <i>
      <x v="8"/>
    </i>
    <i>
      <x v="9"/>
    </i>
    <i t="grand">
      <x/>
    </i>
  </rowItems>
  <colItems count="1">
    <i/>
  </colItems>
  <dataFields count="1">
    <dataField name="Sum of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5" cacheId="130" applyNumberFormats="0" applyBorderFormats="0" applyFontFormats="0" applyPatternFormats="0" applyAlignmentFormats="0" applyWidthHeightFormats="1" dataCaption="Values" updatedVersion="6" minRefreshableVersion="5" itemPrintTitles="1" createdVersion="6" indent="0" outline="1" outlineData="1" multipleFieldFilters="0" chartFormat="1">
  <location ref="A3:N13" firstHeaderRow="1" firstDataRow="3" firstDataCol="1"/>
  <pivotFields count="10">
    <pivotField showAll="0"/>
    <pivotField axis="axisCol"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axis="axisRow" showAll="0">
      <items count="8">
        <item x="0"/>
        <item x="6"/>
        <item x="2"/>
        <item x="5"/>
        <item x="1"/>
        <item x="4"/>
        <item x="3"/>
        <item t="default"/>
      </items>
    </pivotField>
    <pivotField showAll="0"/>
    <pivotField showAll="0"/>
    <pivotField showAll="0"/>
    <pivotField dataField="1" showAll="0"/>
    <pivotField showAll="0"/>
    <pivotField axis="axisCol" showAll="0" defaultSubtotal="0">
      <items count="14">
        <item sd="0" x="0"/>
        <item sd="0" x="1"/>
        <item sd="0" x="2"/>
        <item sd="0" x="3"/>
        <item sd="0" x="4"/>
        <item sd="0" x="5"/>
        <item sd="0" x="6"/>
        <item sd="0" x="7"/>
        <item sd="0" x="8"/>
        <item sd="0" x="9"/>
        <item sd="0" x="10"/>
        <item sd="0" x="11"/>
        <item sd="0" x="12"/>
        <item sd="0" x="13"/>
      </items>
    </pivotField>
  </pivotFields>
  <rowFields count="1">
    <field x="3"/>
  </rowFields>
  <rowItems count="8">
    <i>
      <x/>
    </i>
    <i>
      <x v="1"/>
    </i>
    <i>
      <x v="2"/>
    </i>
    <i>
      <x v="3"/>
    </i>
    <i>
      <x v="4"/>
    </i>
    <i>
      <x v="5"/>
    </i>
    <i>
      <x v="6"/>
    </i>
    <i t="grand">
      <x/>
    </i>
  </rowItems>
  <colFields count="2">
    <field x="9"/>
    <field x="1"/>
  </colFields>
  <colItems count="13">
    <i>
      <x v="1"/>
    </i>
    <i>
      <x v="2"/>
    </i>
    <i>
      <x v="3"/>
    </i>
    <i>
      <x v="4"/>
    </i>
    <i>
      <x v="5"/>
    </i>
    <i>
      <x v="6"/>
    </i>
    <i>
      <x v="7"/>
    </i>
    <i>
      <x v="8"/>
    </i>
    <i>
      <x v="9"/>
    </i>
    <i>
      <x v="10"/>
    </i>
    <i>
      <x v="11"/>
    </i>
    <i>
      <x v="12"/>
    </i>
    <i t="grand">
      <x/>
    </i>
  </colItems>
  <dataFields count="1">
    <dataField name="Sum of Sales" fld="7" baseField="0" baseItem="0"/>
  </dataFields>
  <chartFormats count="13">
    <chartFormat chart="0" format="13" series="1">
      <pivotArea type="data" outline="0" fieldPosition="0">
        <references count="2">
          <reference field="4294967294" count="1" selected="0">
            <x v="0"/>
          </reference>
          <reference field="9" count="1" selected="0">
            <x v="1"/>
          </reference>
        </references>
      </pivotArea>
    </chartFormat>
    <chartFormat chart="0" format="14" series="1">
      <pivotArea type="data" outline="0" fieldPosition="0">
        <references count="2">
          <reference field="4294967294" count="1" selected="0">
            <x v="0"/>
          </reference>
          <reference field="9" count="1" selected="0">
            <x v="2"/>
          </reference>
        </references>
      </pivotArea>
    </chartFormat>
    <chartFormat chart="0" format="15" series="1">
      <pivotArea type="data" outline="0" fieldPosition="0">
        <references count="2">
          <reference field="4294967294" count="1" selected="0">
            <x v="0"/>
          </reference>
          <reference field="9" count="1" selected="0">
            <x v="3"/>
          </reference>
        </references>
      </pivotArea>
    </chartFormat>
    <chartFormat chart="0" format="16" series="1">
      <pivotArea type="data" outline="0" fieldPosition="0">
        <references count="2">
          <reference field="4294967294" count="1" selected="0">
            <x v="0"/>
          </reference>
          <reference field="9" count="1" selected="0">
            <x v="4"/>
          </reference>
        </references>
      </pivotArea>
    </chartFormat>
    <chartFormat chart="0" format="17" series="1">
      <pivotArea type="data" outline="0" fieldPosition="0">
        <references count="2">
          <reference field="4294967294" count="1" selected="0">
            <x v="0"/>
          </reference>
          <reference field="9" count="1" selected="0">
            <x v="5"/>
          </reference>
        </references>
      </pivotArea>
    </chartFormat>
    <chartFormat chart="0" format="18" series="1">
      <pivotArea type="data" outline="0" fieldPosition="0">
        <references count="2">
          <reference field="4294967294" count="1" selected="0">
            <x v="0"/>
          </reference>
          <reference field="9" count="1" selected="0">
            <x v="6"/>
          </reference>
        </references>
      </pivotArea>
    </chartFormat>
    <chartFormat chart="0" format="19" series="1">
      <pivotArea type="data" outline="0" fieldPosition="0">
        <references count="2">
          <reference field="4294967294" count="1" selected="0">
            <x v="0"/>
          </reference>
          <reference field="9" count="1" selected="0">
            <x v="7"/>
          </reference>
        </references>
      </pivotArea>
    </chartFormat>
    <chartFormat chart="0" format="20" series="1">
      <pivotArea type="data" outline="0" fieldPosition="0">
        <references count="2">
          <reference field="4294967294" count="1" selected="0">
            <x v="0"/>
          </reference>
          <reference field="9" count="1" selected="0">
            <x v="8"/>
          </reference>
        </references>
      </pivotArea>
    </chartFormat>
    <chartFormat chart="0" format="21" series="1">
      <pivotArea type="data" outline="0" fieldPosition="0">
        <references count="2">
          <reference field="4294967294" count="1" selected="0">
            <x v="0"/>
          </reference>
          <reference field="9" count="1" selected="0">
            <x v="9"/>
          </reference>
        </references>
      </pivotArea>
    </chartFormat>
    <chartFormat chart="0" format="22" series="1">
      <pivotArea type="data" outline="0" fieldPosition="0">
        <references count="2">
          <reference field="4294967294" count="1" selected="0">
            <x v="0"/>
          </reference>
          <reference field="9" count="1" selected="0">
            <x v="10"/>
          </reference>
        </references>
      </pivotArea>
    </chartFormat>
    <chartFormat chart="0" format="23" series="1">
      <pivotArea type="data" outline="0" fieldPosition="0">
        <references count="2">
          <reference field="4294967294" count="1" selected="0">
            <x v="0"/>
          </reference>
          <reference field="9" count="1" selected="0">
            <x v="11"/>
          </reference>
        </references>
      </pivotArea>
    </chartFormat>
    <chartFormat chart="0" format="24" series="1">
      <pivotArea type="data" outline="0" fieldPosition="0">
        <references count="2">
          <reference field="4294967294" count="1" selected="0">
            <x v="0"/>
          </reference>
          <reference field="9" count="1" selected="0">
            <x v="12"/>
          </reference>
        </references>
      </pivotArea>
    </chartFormat>
    <chartFormat chart="0" format="2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14" name="PivotTable3"/>
  </pivotTables>
  <data>
    <tabular pivotCacheId="1">
      <items count="7">
        <i x="0" s="1"/>
        <i x="6" s="1"/>
        <i x="2" s="1"/>
        <i x="5" s="1"/>
        <i x="1" s="1"/>
        <i x="4"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14" name="PivotTable3"/>
  </pivotTables>
  <data>
    <tabular pivotCacheId="1">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ountry" cache="Slicer_Country" caption="Country" rowHeight="241300"/>
  <slicer name="Region" cache="Slicer_Region" caption="Region" columnCount="3" showCaption="0"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name="NativeTimeline_Order_Date" sourceName="Order Date">
  <pivotTables>
    <pivotTable tabId="15" name="PivotTable5"/>
  </pivotTables>
  <state minimalRefreshVersion="6" lastRefreshVersion="6" pivotCacheId="1" filterType="unknown">
    <bounds startDate="2018-01-01T00:00:00" endDate="2020-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Order Date" cache="NativeTimeline_Order_Date" caption="Order Date" level="1" selectionLevel="1" scrollPosition="2018-01-01T00:00:00"/>
</timeline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1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14.xml.rels><?xml version="1.0" encoding="UTF-8" standalone="yes"?>
<Relationships xmlns="http://schemas.openxmlformats.org/package/2006/relationships"><Relationship Id="rId3" Type="http://schemas.microsoft.com/office/2011/relationships/timeline" Target="../timelines/timeline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H18"/>
  <sheetViews>
    <sheetView workbookViewId="0">
      <selection activeCell="C19" sqref="C19"/>
    </sheetView>
  </sheetViews>
  <sheetFormatPr defaultRowHeight="15" x14ac:dyDescent="0.25"/>
  <cols>
    <col min="1" max="1" width="25.28515625" style="1" bestFit="1" customWidth="1"/>
    <col min="2" max="3" width="24" style="1" bestFit="1" customWidth="1"/>
    <col min="4" max="4" width="10.7109375" style="1" bestFit="1" customWidth="1"/>
    <col min="5" max="16384" width="9.140625" style="1"/>
  </cols>
  <sheetData>
    <row r="1" spans="2:8" x14ac:dyDescent="0.25">
      <c r="C1" s="40" t="s">
        <v>168</v>
      </c>
      <c r="D1" s="40"/>
      <c r="E1" s="40"/>
      <c r="F1" s="40"/>
      <c r="G1" s="40"/>
    </row>
    <row r="2" spans="2:8" x14ac:dyDescent="0.25">
      <c r="C2" s="40"/>
      <c r="D2" s="40"/>
      <c r="E2" s="40"/>
      <c r="F2" s="40"/>
      <c r="G2" s="40"/>
    </row>
    <row r="3" spans="2:8" x14ac:dyDescent="0.25">
      <c r="C3" s="40"/>
      <c r="D3" s="40"/>
      <c r="E3" s="40"/>
      <c r="F3" s="40"/>
      <c r="G3" s="40"/>
    </row>
    <row r="6" spans="2:8" x14ac:dyDescent="0.25">
      <c r="B6" s="15" t="s">
        <v>16</v>
      </c>
      <c r="C6" s="15" t="s">
        <v>17</v>
      </c>
    </row>
    <row r="7" spans="2:8" x14ac:dyDescent="0.25">
      <c r="B7" s="2" t="s">
        <v>0</v>
      </c>
      <c r="C7" s="1" t="s">
        <v>2</v>
      </c>
      <c r="H7" s="1" t="s">
        <v>169</v>
      </c>
    </row>
    <row r="8" spans="2:8" x14ac:dyDescent="0.25">
      <c r="B8" s="2" t="s">
        <v>1</v>
      </c>
      <c r="C8" s="1" t="s">
        <v>3</v>
      </c>
      <c r="H8" s="1" t="s">
        <v>170</v>
      </c>
    </row>
    <row r="9" spans="2:8" x14ac:dyDescent="0.25">
      <c r="B9" s="2" t="s">
        <v>4</v>
      </c>
      <c r="C9" s="1" t="s">
        <v>5</v>
      </c>
      <c r="H9" s="1" t="s">
        <v>620</v>
      </c>
    </row>
    <row r="10" spans="2:8" x14ac:dyDescent="0.25">
      <c r="B10" s="2" t="s">
        <v>9</v>
      </c>
      <c r="C10" s="1" t="s">
        <v>6</v>
      </c>
      <c r="H10" s="1" t="s">
        <v>621</v>
      </c>
    </row>
    <row r="11" spans="2:8" x14ac:dyDescent="0.25">
      <c r="B11" s="2" t="s">
        <v>10</v>
      </c>
      <c r="C11" s="1" t="s">
        <v>7</v>
      </c>
    </row>
    <row r="12" spans="2:8" x14ac:dyDescent="0.25">
      <c r="B12" s="2" t="s">
        <v>11</v>
      </c>
      <c r="C12" s="1" t="s">
        <v>8</v>
      </c>
    </row>
    <row r="13" spans="2:8" x14ac:dyDescent="0.25">
      <c r="B13" s="2" t="s">
        <v>12</v>
      </c>
      <c r="C13" s="1" t="s">
        <v>14</v>
      </c>
    </row>
    <row r="14" spans="2:8" x14ac:dyDescent="0.25">
      <c r="B14" s="2" t="s">
        <v>13</v>
      </c>
      <c r="C14" s="1" t="s">
        <v>15</v>
      </c>
    </row>
    <row r="15" spans="2:8" x14ac:dyDescent="0.25">
      <c r="B15" s="2" t="s">
        <v>32</v>
      </c>
      <c r="C15" s="1" t="s">
        <v>33</v>
      </c>
    </row>
    <row r="16" spans="2:8" x14ac:dyDescent="0.25">
      <c r="B16" s="2" t="s">
        <v>31</v>
      </c>
      <c r="C16" s="1" t="s">
        <v>34</v>
      </c>
    </row>
    <row r="17" spans="2:3" x14ac:dyDescent="0.25">
      <c r="B17" s="1" t="s">
        <v>706</v>
      </c>
      <c r="C17" s="1" t="s">
        <v>705</v>
      </c>
    </row>
    <row r="18" spans="2:3" x14ac:dyDescent="0.25">
      <c r="B18" s="1" t="s">
        <v>707</v>
      </c>
    </row>
  </sheetData>
  <mergeCells count="1">
    <mergeCell ref="C1:G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4"/>
  <sheetViews>
    <sheetView workbookViewId="0">
      <selection activeCell="O8" sqref="O8"/>
    </sheetView>
  </sheetViews>
  <sheetFormatPr defaultRowHeight="15" x14ac:dyDescent="0.25"/>
  <cols>
    <col min="1" max="1" width="13.85546875" bestFit="1" customWidth="1"/>
    <col min="2" max="2" width="5.7109375" bestFit="1" customWidth="1"/>
    <col min="3" max="3" width="7.28515625" bestFit="1" customWidth="1"/>
    <col min="4" max="4" width="5.7109375" bestFit="1" customWidth="1"/>
    <col min="5" max="5" width="7.42578125" bestFit="1" customWidth="1"/>
    <col min="6" max="6" width="10" bestFit="1" customWidth="1"/>
    <col min="7" max="7" width="6.28515625" bestFit="1" customWidth="1"/>
    <col min="8" max="8" width="7.28515625" bestFit="1" customWidth="1"/>
    <col min="9" max="9" width="11.140625" bestFit="1" customWidth="1"/>
    <col min="10" max="10" width="5.42578125" bestFit="1" customWidth="1"/>
    <col min="11" max="11" width="8.28515625" bestFit="1" customWidth="1"/>
    <col min="12" max="12" width="5.28515625" bestFit="1" customWidth="1"/>
    <col min="13" max="13" width="4.85546875" bestFit="1" customWidth="1"/>
    <col min="14" max="14" width="10.85546875" bestFit="1" customWidth="1"/>
    <col min="15" max="15" width="26.85546875" bestFit="1" customWidth="1"/>
    <col min="16" max="16" width="5" bestFit="1" customWidth="1"/>
    <col min="17" max="17" width="2" bestFit="1" customWidth="1"/>
    <col min="18" max="18" width="5" bestFit="1" customWidth="1"/>
  </cols>
  <sheetData>
    <row r="1" spans="1:18" x14ac:dyDescent="0.25">
      <c r="A1" s="3" t="s">
        <v>19</v>
      </c>
      <c r="B1" s="3" t="s">
        <v>39</v>
      </c>
      <c r="C1" s="3" t="s">
        <v>40</v>
      </c>
      <c r="D1" s="3" t="s">
        <v>41</v>
      </c>
      <c r="E1" s="3" t="s">
        <v>42</v>
      </c>
      <c r="F1" s="3" t="s">
        <v>43</v>
      </c>
      <c r="G1" s="3" t="s">
        <v>44</v>
      </c>
      <c r="H1" s="3" t="s">
        <v>45</v>
      </c>
      <c r="I1" s="3" t="s">
        <v>46</v>
      </c>
      <c r="J1" s="3" t="s">
        <v>47</v>
      </c>
      <c r="K1" s="3" t="s">
        <v>48</v>
      </c>
      <c r="L1" s="3" t="s">
        <v>49</v>
      </c>
      <c r="M1" s="3" t="s">
        <v>50</v>
      </c>
    </row>
    <row r="2" spans="1:18" x14ac:dyDescent="0.25">
      <c r="A2" s="1" t="s">
        <v>21</v>
      </c>
      <c r="B2" s="1">
        <v>950</v>
      </c>
      <c r="C2" s="1">
        <v>326</v>
      </c>
      <c r="D2" s="1">
        <v>942</v>
      </c>
      <c r="E2" s="1">
        <v>599</v>
      </c>
      <c r="F2" s="1">
        <v>573</v>
      </c>
      <c r="G2" s="1">
        <v>400</v>
      </c>
      <c r="H2" s="1">
        <v>258</v>
      </c>
      <c r="I2" s="1">
        <v>747</v>
      </c>
      <c r="J2" s="1">
        <f t="shared" ref="J2:J11" si="0">SUM(B2:I2)</f>
        <v>4795</v>
      </c>
      <c r="K2" s="1">
        <f t="shared" ref="K2:K11" si="1">AVERAGE(B2:I2)</f>
        <v>599.375</v>
      </c>
      <c r="L2" s="1">
        <f t="shared" ref="L2:L11" si="2">MAX(B2:I2)</f>
        <v>950</v>
      </c>
      <c r="M2" s="1">
        <f t="shared" ref="M2:M11" si="3">MIN(B2:I2)</f>
        <v>258</v>
      </c>
      <c r="P2" s="41" t="s">
        <v>52</v>
      </c>
      <c r="Q2" s="41"/>
      <c r="R2" s="41"/>
    </row>
    <row r="3" spans="1:18" x14ac:dyDescent="0.25">
      <c r="A3" s="1" t="s">
        <v>22</v>
      </c>
      <c r="B3" s="1">
        <v>361</v>
      </c>
      <c r="C3" s="1">
        <v>594</v>
      </c>
      <c r="D3" s="1">
        <v>573</v>
      </c>
      <c r="E3" s="1">
        <v>914</v>
      </c>
      <c r="F3" s="1">
        <v>766</v>
      </c>
      <c r="G3" s="1">
        <v>908</v>
      </c>
      <c r="H3" s="1">
        <v>226</v>
      </c>
      <c r="I3" s="1">
        <v>945</v>
      </c>
      <c r="J3" s="1">
        <f t="shared" si="0"/>
        <v>5287</v>
      </c>
      <c r="K3" s="1">
        <f t="shared" si="1"/>
        <v>660.875</v>
      </c>
      <c r="L3" s="1">
        <f t="shared" si="2"/>
        <v>945</v>
      </c>
      <c r="M3" s="1">
        <f t="shared" si="3"/>
        <v>226</v>
      </c>
      <c r="P3" s="13">
        <v>1000</v>
      </c>
      <c r="Q3" s="13">
        <v>4</v>
      </c>
      <c r="R3" s="13">
        <f>PRODUCT(P3:Q3)</f>
        <v>4000</v>
      </c>
    </row>
    <row r="4" spans="1:18" x14ac:dyDescent="0.25">
      <c r="A4" s="1" t="s">
        <v>23</v>
      </c>
      <c r="B4" s="1">
        <v>213</v>
      </c>
      <c r="C4" s="1">
        <v>501</v>
      </c>
      <c r="D4" s="1">
        <v>538</v>
      </c>
      <c r="E4" s="1">
        <v>969</v>
      </c>
      <c r="F4" s="1">
        <v>371</v>
      </c>
      <c r="G4" s="1">
        <v>219</v>
      </c>
      <c r="H4" s="1">
        <v>910</v>
      </c>
      <c r="I4" s="1">
        <v>881</v>
      </c>
      <c r="J4" s="1">
        <f t="shared" si="0"/>
        <v>4602</v>
      </c>
      <c r="K4" s="1">
        <f t="shared" si="1"/>
        <v>575.25</v>
      </c>
      <c r="L4" s="1">
        <f t="shared" si="2"/>
        <v>969</v>
      </c>
      <c r="M4" s="1">
        <f t="shared" si="3"/>
        <v>213</v>
      </c>
    </row>
    <row r="5" spans="1:18" x14ac:dyDescent="0.25">
      <c r="A5" s="1" t="s">
        <v>24</v>
      </c>
      <c r="B5" s="1">
        <v>796</v>
      </c>
      <c r="C5" s="1">
        <v>253</v>
      </c>
      <c r="D5" s="1">
        <v>637</v>
      </c>
      <c r="E5" s="1">
        <v>850</v>
      </c>
      <c r="F5" s="1">
        <v>756</v>
      </c>
      <c r="G5" s="1">
        <v>843</v>
      </c>
      <c r="H5" s="1">
        <v>395</v>
      </c>
      <c r="I5" s="1">
        <v>420</v>
      </c>
      <c r="J5" s="1">
        <f t="shared" si="0"/>
        <v>4950</v>
      </c>
      <c r="K5" s="1">
        <f t="shared" si="1"/>
        <v>618.75</v>
      </c>
      <c r="L5" s="1">
        <f t="shared" si="2"/>
        <v>850</v>
      </c>
      <c r="M5" s="1">
        <f t="shared" si="3"/>
        <v>253</v>
      </c>
    </row>
    <row r="6" spans="1:18" x14ac:dyDescent="0.25">
      <c r="A6" s="1" t="s">
        <v>25</v>
      </c>
      <c r="B6" s="1">
        <v>821</v>
      </c>
      <c r="C6" s="1">
        <v>385</v>
      </c>
      <c r="D6" s="1">
        <v>217</v>
      </c>
      <c r="E6" s="1">
        <v>585</v>
      </c>
      <c r="F6" s="1">
        <v>364</v>
      </c>
      <c r="G6" s="1">
        <v>593</v>
      </c>
      <c r="H6" s="1">
        <v>206</v>
      </c>
      <c r="I6" s="1">
        <v>203</v>
      </c>
      <c r="J6" s="1">
        <f t="shared" si="0"/>
        <v>3374</v>
      </c>
      <c r="K6" s="1">
        <f t="shared" si="1"/>
        <v>421.75</v>
      </c>
      <c r="L6" s="1">
        <f t="shared" si="2"/>
        <v>821</v>
      </c>
      <c r="M6" s="1">
        <f t="shared" si="3"/>
        <v>203</v>
      </c>
    </row>
    <row r="7" spans="1:18" x14ac:dyDescent="0.25">
      <c r="A7" s="1" t="s">
        <v>26</v>
      </c>
      <c r="B7" s="1">
        <v>880</v>
      </c>
      <c r="C7" s="1">
        <v>344</v>
      </c>
      <c r="D7" s="1">
        <v>240</v>
      </c>
      <c r="E7" s="1">
        <v>953</v>
      </c>
      <c r="F7" s="1">
        <v>773</v>
      </c>
      <c r="G7" s="1">
        <v>792</v>
      </c>
      <c r="H7" s="1">
        <v>563</v>
      </c>
      <c r="I7" s="1">
        <v>856</v>
      </c>
      <c r="J7" s="1">
        <f t="shared" si="0"/>
        <v>5401</v>
      </c>
      <c r="K7" s="1">
        <f t="shared" si="1"/>
        <v>675.125</v>
      </c>
      <c r="L7" s="1">
        <f t="shared" si="2"/>
        <v>953</v>
      </c>
      <c r="M7" s="1">
        <f t="shared" si="3"/>
        <v>240</v>
      </c>
    </row>
    <row r="8" spans="1:18" x14ac:dyDescent="0.25">
      <c r="A8" s="1" t="s">
        <v>27</v>
      </c>
      <c r="B8" s="1">
        <v>287</v>
      </c>
      <c r="C8" s="1">
        <v>829</v>
      </c>
      <c r="D8" s="1">
        <v>324</v>
      </c>
      <c r="E8" s="1">
        <v>774</v>
      </c>
      <c r="F8" s="1">
        <v>670</v>
      </c>
      <c r="G8" s="1">
        <v>683</v>
      </c>
      <c r="H8" s="1">
        <v>278</v>
      </c>
      <c r="I8" s="1">
        <v>873</v>
      </c>
      <c r="J8" s="1">
        <f t="shared" si="0"/>
        <v>4718</v>
      </c>
      <c r="K8" s="1">
        <f t="shared" si="1"/>
        <v>589.75</v>
      </c>
      <c r="L8" s="1">
        <f t="shared" si="2"/>
        <v>873</v>
      </c>
      <c r="M8" s="1">
        <f t="shared" si="3"/>
        <v>278</v>
      </c>
    </row>
    <row r="9" spans="1:18" x14ac:dyDescent="0.25">
      <c r="A9" s="1" t="s">
        <v>28</v>
      </c>
      <c r="B9" s="1">
        <v>919</v>
      </c>
      <c r="C9" s="1">
        <v>194</v>
      </c>
      <c r="D9" s="1">
        <v>692</v>
      </c>
      <c r="E9" s="1">
        <v>760</v>
      </c>
      <c r="F9" s="1">
        <v>153</v>
      </c>
      <c r="G9" s="1">
        <v>274</v>
      </c>
      <c r="H9" s="1">
        <v>132</v>
      </c>
      <c r="I9" s="1">
        <v>631</v>
      </c>
      <c r="J9" s="1">
        <f t="shared" si="0"/>
        <v>3755</v>
      </c>
      <c r="K9" s="1">
        <f t="shared" si="1"/>
        <v>469.375</v>
      </c>
      <c r="L9" s="1">
        <f t="shared" si="2"/>
        <v>919</v>
      </c>
      <c r="M9" s="1">
        <f t="shared" si="3"/>
        <v>132</v>
      </c>
    </row>
    <row r="10" spans="1:18" x14ac:dyDescent="0.25">
      <c r="A10" s="1" t="s">
        <v>29</v>
      </c>
      <c r="B10" s="1">
        <v>463</v>
      </c>
      <c r="C10" s="1">
        <v>242</v>
      </c>
      <c r="D10" s="1">
        <v>364</v>
      </c>
      <c r="E10" s="1">
        <v>887</v>
      </c>
      <c r="F10" s="1">
        <v>239</v>
      </c>
      <c r="G10" s="1">
        <v>969</v>
      </c>
      <c r="H10" s="1">
        <v>934</v>
      </c>
      <c r="I10" s="1">
        <v>326</v>
      </c>
      <c r="J10" s="1">
        <f t="shared" si="0"/>
        <v>4424</v>
      </c>
      <c r="K10" s="1">
        <f t="shared" si="1"/>
        <v>553</v>
      </c>
      <c r="L10" s="1">
        <f t="shared" si="2"/>
        <v>969</v>
      </c>
      <c r="M10" s="1">
        <f t="shared" si="3"/>
        <v>239</v>
      </c>
    </row>
    <row r="11" spans="1:18" x14ac:dyDescent="0.25">
      <c r="A11" s="1" t="s">
        <v>30</v>
      </c>
      <c r="B11" s="1">
        <v>115</v>
      </c>
      <c r="C11" s="1">
        <v>242</v>
      </c>
      <c r="D11" s="1">
        <v>301</v>
      </c>
      <c r="E11" s="1">
        <v>283</v>
      </c>
      <c r="F11" s="1">
        <v>981</v>
      </c>
      <c r="G11" s="1">
        <v>750</v>
      </c>
      <c r="H11" s="1">
        <v>345</v>
      </c>
      <c r="I11" s="1">
        <v>268</v>
      </c>
      <c r="J11" s="1">
        <f t="shared" si="0"/>
        <v>3285</v>
      </c>
      <c r="K11" s="1">
        <f t="shared" si="1"/>
        <v>410.625</v>
      </c>
      <c r="L11" s="1">
        <f t="shared" si="2"/>
        <v>981</v>
      </c>
      <c r="M11" s="1">
        <f t="shared" si="3"/>
        <v>115</v>
      </c>
    </row>
    <row r="13" spans="1:18" x14ac:dyDescent="0.25">
      <c r="N13" s="12" t="s">
        <v>53</v>
      </c>
      <c r="O13" s="12" t="s">
        <v>54</v>
      </c>
    </row>
    <row r="14" spans="1:18" x14ac:dyDescent="0.25">
      <c r="A14" s="11" t="s">
        <v>59</v>
      </c>
      <c r="B14" s="11" t="s">
        <v>60</v>
      </c>
      <c r="C14" s="11" t="s">
        <v>61</v>
      </c>
      <c r="D14" s="11" t="s">
        <v>62</v>
      </c>
      <c r="E14" s="11" t="s">
        <v>63</v>
      </c>
      <c r="F14" s="11" t="s">
        <v>64</v>
      </c>
      <c r="G14" s="12" t="s">
        <v>66</v>
      </c>
      <c r="H14" s="12" t="s">
        <v>67</v>
      </c>
      <c r="I14" s="12" t="s">
        <v>68</v>
      </c>
      <c r="N14" s="12" t="s">
        <v>55</v>
      </c>
      <c r="O14" s="12" t="s">
        <v>56</v>
      </c>
    </row>
    <row r="15" spans="1:18" x14ac:dyDescent="0.25">
      <c r="A15" s="1" t="s">
        <v>21</v>
      </c>
      <c r="B15" s="1" t="s">
        <v>65</v>
      </c>
      <c r="C15" s="14"/>
      <c r="D15" s="1">
        <v>68</v>
      </c>
      <c r="E15" s="14"/>
      <c r="F15" s="1">
        <v>87</v>
      </c>
      <c r="G15" s="13">
        <f>COUNT(B15:F15)</f>
        <v>2</v>
      </c>
      <c r="H15" s="13">
        <f>COUNTA(B15:F15)</f>
        <v>3</v>
      </c>
      <c r="I15" s="13">
        <f>COUNTBLANK(B15:F15)</f>
        <v>2</v>
      </c>
      <c r="N15" s="12" t="s">
        <v>57</v>
      </c>
      <c r="O15" s="12" t="s">
        <v>58</v>
      </c>
    </row>
    <row r="16" spans="1:18" x14ac:dyDescent="0.25">
      <c r="A16" s="1" t="s">
        <v>22</v>
      </c>
      <c r="B16" s="1" t="s">
        <v>65</v>
      </c>
      <c r="C16" s="1">
        <v>92</v>
      </c>
      <c r="D16" s="1">
        <v>85</v>
      </c>
      <c r="E16" s="1">
        <v>58</v>
      </c>
      <c r="F16" s="14"/>
      <c r="G16" s="13">
        <f t="shared" ref="G16:G24" si="4">COUNT(B16:F16)</f>
        <v>3</v>
      </c>
      <c r="H16" s="13">
        <f t="shared" ref="H16:H24" si="5">COUNTA(B16:F16)</f>
        <v>4</v>
      </c>
      <c r="I16" s="13">
        <f t="shared" ref="I16:I24" si="6">COUNTBLANK(B16:F16)</f>
        <v>1</v>
      </c>
    </row>
    <row r="17" spans="1:15" ht="15.75" x14ac:dyDescent="0.25">
      <c r="A17" s="1" t="s">
        <v>23</v>
      </c>
      <c r="B17" s="1">
        <v>59</v>
      </c>
      <c r="C17" s="1">
        <v>96</v>
      </c>
      <c r="D17" s="14"/>
      <c r="E17" s="1" t="s">
        <v>65</v>
      </c>
      <c r="F17" s="14"/>
      <c r="G17" s="13">
        <f t="shared" si="4"/>
        <v>2</v>
      </c>
      <c r="H17" s="13">
        <f t="shared" si="5"/>
        <v>3</v>
      </c>
      <c r="I17" s="13">
        <f t="shared" si="6"/>
        <v>2</v>
      </c>
      <c r="N17" s="42" t="s">
        <v>69</v>
      </c>
      <c r="O17" s="42"/>
    </row>
    <row r="18" spans="1:15" x14ac:dyDescent="0.25">
      <c r="A18" s="1" t="s">
        <v>24</v>
      </c>
      <c r="B18" s="1">
        <v>82</v>
      </c>
      <c r="C18" s="14"/>
      <c r="D18" s="1">
        <v>65</v>
      </c>
      <c r="E18" s="1" t="s">
        <v>65</v>
      </c>
      <c r="F18" s="1">
        <v>75</v>
      </c>
      <c r="G18" s="13">
        <f t="shared" si="4"/>
        <v>3</v>
      </c>
      <c r="H18" s="13">
        <f t="shared" si="5"/>
        <v>4</v>
      </c>
      <c r="I18" s="13">
        <f t="shared" si="6"/>
        <v>1</v>
      </c>
      <c r="N18" s="1"/>
      <c r="O18" s="1"/>
    </row>
    <row r="19" spans="1:15" x14ac:dyDescent="0.25">
      <c r="A19" s="1" t="s">
        <v>25</v>
      </c>
      <c r="B19" s="1">
        <v>59</v>
      </c>
      <c r="C19" s="1">
        <v>39</v>
      </c>
      <c r="D19" s="1">
        <v>45</v>
      </c>
      <c r="E19" s="1">
        <v>58</v>
      </c>
      <c r="F19" s="1">
        <v>40</v>
      </c>
      <c r="G19" s="13">
        <f t="shared" si="4"/>
        <v>5</v>
      </c>
      <c r="H19" s="13">
        <f t="shared" si="5"/>
        <v>5</v>
      </c>
      <c r="I19" s="13">
        <f t="shared" si="6"/>
        <v>0</v>
      </c>
      <c r="N19" s="43" t="s">
        <v>70</v>
      </c>
      <c r="O19" s="44"/>
    </row>
    <row r="20" spans="1:15" x14ac:dyDescent="0.25">
      <c r="A20" s="1" t="s">
        <v>26</v>
      </c>
      <c r="B20" s="1">
        <v>98</v>
      </c>
      <c r="C20" s="1" t="s">
        <v>65</v>
      </c>
      <c r="D20" s="1">
        <v>44</v>
      </c>
      <c r="E20" s="14"/>
      <c r="F20" s="1">
        <v>48</v>
      </c>
      <c r="G20" s="13">
        <f t="shared" si="4"/>
        <v>3</v>
      </c>
      <c r="H20" s="13">
        <f t="shared" si="5"/>
        <v>4</v>
      </c>
      <c r="I20" s="13">
        <f t="shared" si="6"/>
        <v>1</v>
      </c>
      <c r="N20" s="44"/>
      <c r="O20" s="44"/>
    </row>
    <row r="21" spans="1:15" x14ac:dyDescent="0.25">
      <c r="A21" s="1" t="s">
        <v>27</v>
      </c>
      <c r="B21" s="1">
        <v>99</v>
      </c>
      <c r="C21" s="1" t="s">
        <v>65</v>
      </c>
      <c r="D21" s="1">
        <v>33</v>
      </c>
      <c r="E21" s="1">
        <v>62</v>
      </c>
      <c r="F21" s="1" t="s">
        <v>65</v>
      </c>
      <c r="G21" s="13">
        <f t="shared" si="4"/>
        <v>3</v>
      </c>
      <c r="H21" s="13">
        <f t="shared" si="5"/>
        <v>5</v>
      </c>
      <c r="I21" s="13">
        <f t="shared" si="6"/>
        <v>0</v>
      </c>
      <c r="N21" s="44"/>
      <c r="O21" s="44"/>
    </row>
    <row r="22" spans="1:15" x14ac:dyDescent="0.25">
      <c r="A22" s="1" t="s">
        <v>28</v>
      </c>
      <c r="B22" s="1">
        <v>85</v>
      </c>
      <c r="C22" s="1">
        <v>73</v>
      </c>
      <c r="D22" s="14"/>
      <c r="E22" s="1">
        <v>44</v>
      </c>
      <c r="F22" s="1" t="s">
        <v>65</v>
      </c>
      <c r="G22" s="13">
        <f t="shared" si="4"/>
        <v>3</v>
      </c>
      <c r="H22" s="13">
        <f t="shared" si="5"/>
        <v>4</v>
      </c>
      <c r="I22" s="13">
        <f t="shared" si="6"/>
        <v>1</v>
      </c>
      <c r="N22" s="44"/>
      <c r="O22" s="44"/>
    </row>
    <row r="23" spans="1:15" x14ac:dyDescent="0.25">
      <c r="A23" s="1" t="s">
        <v>29</v>
      </c>
      <c r="B23" s="1">
        <v>74</v>
      </c>
      <c r="C23" s="14"/>
      <c r="D23" s="1">
        <v>80</v>
      </c>
      <c r="E23" s="1">
        <v>94</v>
      </c>
      <c r="F23" s="1" t="s">
        <v>65</v>
      </c>
      <c r="G23" s="13">
        <f t="shared" si="4"/>
        <v>3</v>
      </c>
      <c r="H23" s="13">
        <f t="shared" si="5"/>
        <v>4</v>
      </c>
      <c r="I23" s="13">
        <f t="shared" si="6"/>
        <v>1</v>
      </c>
      <c r="N23" s="44"/>
      <c r="O23" s="44"/>
    </row>
    <row r="24" spans="1:15" x14ac:dyDescent="0.25">
      <c r="A24" s="1" t="s">
        <v>30</v>
      </c>
      <c r="B24" s="1">
        <v>90</v>
      </c>
      <c r="C24" s="1">
        <v>41</v>
      </c>
      <c r="D24" s="14"/>
      <c r="E24" s="1">
        <v>81</v>
      </c>
      <c r="F24" s="1">
        <v>69</v>
      </c>
      <c r="G24" s="13">
        <f t="shared" si="4"/>
        <v>4</v>
      </c>
      <c r="H24" s="13">
        <f t="shared" si="5"/>
        <v>4</v>
      </c>
      <c r="I24" s="13">
        <f t="shared" si="6"/>
        <v>1</v>
      </c>
      <c r="N24" s="44"/>
      <c r="O24" s="44"/>
    </row>
  </sheetData>
  <mergeCells count="3">
    <mergeCell ref="P2:R2"/>
    <mergeCell ref="N17:O17"/>
    <mergeCell ref="N19:O2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1"/>
  <sheetViews>
    <sheetView workbookViewId="0">
      <selection activeCell="F21" sqref="F21"/>
    </sheetView>
  </sheetViews>
  <sheetFormatPr defaultRowHeight="15" x14ac:dyDescent="0.25"/>
  <cols>
    <col min="1" max="1" width="10.7109375" bestFit="1" customWidth="1"/>
    <col min="2" max="2" width="14.140625" bestFit="1" customWidth="1"/>
    <col min="3" max="3" width="11.7109375" bestFit="1" customWidth="1"/>
    <col min="4" max="4" width="10.140625" bestFit="1" customWidth="1"/>
    <col min="6" max="6" width="80.28515625" customWidth="1"/>
    <col min="8" max="8" width="10.85546875" bestFit="1" customWidth="1"/>
  </cols>
  <sheetData>
    <row r="1" spans="1:12" x14ac:dyDescent="0.25">
      <c r="A1" s="19" t="s">
        <v>116</v>
      </c>
      <c r="B1" s="19" t="s">
        <v>117</v>
      </c>
      <c r="C1" s="19" t="s">
        <v>118</v>
      </c>
      <c r="D1" s="19" t="s">
        <v>119</v>
      </c>
      <c r="F1" s="45" t="s">
        <v>120</v>
      </c>
    </row>
    <row r="2" spans="1:12" x14ac:dyDescent="0.25">
      <c r="A2" s="20">
        <v>45658</v>
      </c>
      <c r="B2" s="21" t="s">
        <v>121</v>
      </c>
      <c r="C2" s="21" t="s">
        <v>85</v>
      </c>
      <c r="D2" s="21">
        <v>5000</v>
      </c>
      <c r="F2" s="45"/>
      <c r="H2" s="46" t="s">
        <v>122</v>
      </c>
      <c r="I2" s="46"/>
      <c r="J2" s="46"/>
    </row>
    <row r="3" spans="1:12" x14ac:dyDescent="0.25">
      <c r="A3" s="20">
        <v>45659</v>
      </c>
      <c r="B3" s="21" t="s">
        <v>123</v>
      </c>
      <c r="C3" s="21" t="s">
        <v>124</v>
      </c>
      <c r="D3" s="21">
        <v>7000</v>
      </c>
      <c r="F3" s="47" t="s">
        <v>125</v>
      </c>
      <c r="H3" s="22" t="s">
        <v>126</v>
      </c>
      <c r="I3" s="22" t="s">
        <v>119</v>
      </c>
      <c r="J3" s="22" t="s">
        <v>122</v>
      </c>
    </row>
    <row r="4" spans="1:12" x14ac:dyDescent="0.25">
      <c r="A4" s="20">
        <v>45660</v>
      </c>
      <c r="B4" s="21" t="s">
        <v>121</v>
      </c>
      <c r="C4" s="21" t="s">
        <v>85</v>
      </c>
      <c r="D4" s="21">
        <v>6000</v>
      </c>
      <c r="F4" s="47"/>
      <c r="H4" s="1" t="s">
        <v>127</v>
      </c>
      <c r="I4" s="1">
        <v>125.46</v>
      </c>
      <c r="J4" s="2">
        <f>ROUND(I4,0)</f>
        <v>125</v>
      </c>
    </row>
    <row r="5" spans="1:12" x14ac:dyDescent="0.25">
      <c r="A5" s="20">
        <v>45661</v>
      </c>
      <c r="B5" s="21" t="s">
        <v>128</v>
      </c>
      <c r="C5" s="21" t="s">
        <v>129</v>
      </c>
      <c r="D5" s="21">
        <v>4000</v>
      </c>
      <c r="F5" s="47"/>
      <c r="H5" s="1" t="s">
        <v>130</v>
      </c>
      <c r="I5" s="1">
        <v>46.89</v>
      </c>
      <c r="J5" s="2">
        <f>ROUND(I5,0)</f>
        <v>47</v>
      </c>
    </row>
    <row r="6" spans="1:12" x14ac:dyDescent="0.25">
      <c r="A6" s="20">
        <v>45662</v>
      </c>
      <c r="B6" s="21" t="s">
        <v>123</v>
      </c>
      <c r="C6" s="21" t="s">
        <v>124</v>
      </c>
      <c r="D6" s="21">
        <v>8000</v>
      </c>
      <c r="F6" s="47"/>
      <c r="H6" s="1" t="s">
        <v>131</v>
      </c>
      <c r="I6" s="1">
        <v>134.25</v>
      </c>
      <c r="J6" s="2">
        <f>ROUND(I6,0)</f>
        <v>134</v>
      </c>
    </row>
    <row r="7" spans="1:12" x14ac:dyDescent="0.25">
      <c r="C7" s="23" t="s">
        <v>132</v>
      </c>
      <c r="D7" s="24">
        <f>SUM(D2:D6)</f>
        <v>30000</v>
      </c>
      <c r="H7" s="1" t="s">
        <v>133</v>
      </c>
      <c r="I7" s="1">
        <v>145.66999999999999</v>
      </c>
      <c r="J7" s="2">
        <f>ROUND(I7,0)</f>
        <v>146</v>
      </c>
    </row>
    <row r="8" spans="1:12" x14ac:dyDescent="0.25">
      <c r="C8" s="23" t="s">
        <v>134</v>
      </c>
      <c r="D8" s="24">
        <f>SUBTOTAL(9,D2:D6)</f>
        <v>30000</v>
      </c>
    </row>
    <row r="9" spans="1:12" x14ac:dyDescent="0.25">
      <c r="F9" s="25" t="s">
        <v>135</v>
      </c>
    </row>
    <row r="10" spans="1:12" x14ac:dyDescent="0.25">
      <c r="A10" s="48" t="s">
        <v>136</v>
      </c>
      <c r="B10" s="48"/>
      <c r="C10" s="48"/>
      <c r="D10" s="48"/>
    </row>
    <row r="11" spans="1:12" x14ac:dyDescent="0.25">
      <c r="A11" s="22" t="s">
        <v>137</v>
      </c>
      <c r="B11" s="22" t="s">
        <v>138</v>
      </c>
      <c r="C11" s="22" t="s">
        <v>139</v>
      </c>
      <c r="D11" s="22" t="s">
        <v>140</v>
      </c>
    </row>
    <row r="12" spans="1:12" x14ac:dyDescent="0.25">
      <c r="A12" s="1" t="s">
        <v>141</v>
      </c>
      <c r="B12" s="1" t="s">
        <v>142</v>
      </c>
      <c r="C12" s="1">
        <v>180</v>
      </c>
      <c r="D12" s="26">
        <v>4682</v>
      </c>
      <c r="F12" s="1" t="s">
        <v>143</v>
      </c>
      <c r="G12" s="1">
        <f>SUM(C12:C21)</f>
        <v>1542</v>
      </c>
      <c r="H12" s="2" t="s">
        <v>51</v>
      </c>
      <c r="J12" s="48" t="s">
        <v>144</v>
      </c>
      <c r="K12" s="48"/>
    </row>
    <row r="13" spans="1:12" x14ac:dyDescent="0.25">
      <c r="A13" s="1" t="s">
        <v>145</v>
      </c>
      <c r="B13" s="1" t="s">
        <v>146</v>
      </c>
      <c r="C13" s="1">
        <v>125</v>
      </c>
      <c r="D13" s="26">
        <v>5778</v>
      </c>
      <c r="F13" s="1" t="s">
        <v>147</v>
      </c>
      <c r="G13" s="26">
        <f>SUM(D12:D21)</f>
        <v>52246</v>
      </c>
      <c r="H13" s="2" t="s">
        <v>51</v>
      </c>
      <c r="J13" s="1" t="s">
        <v>148</v>
      </c>
      <c r="K13" s="1">
        <v>11</v>
      </c>
    </row>
    <row r="14" spans="1:12" x14ac:dyDescent="0.25">
      <c r="A14" s="1" t="s">
        <v>149</v>
      </c>
      <c r="B14" s="1" t="s">
        <v>142</v>
      </c>
      <c r="C14" s="1">
        <v>140</v>
      </c>
      <c r="D14" s="26">
        <v>5938</v>
      </c>
      <c r="F14" s="1" t="s">
        <v>150</v>
      </c>
      <c r="G14" s="26">
        <f>AVERAGE(D12:D21)</f>
        <v>5224.6000000000004</v>
      </c>
      <c r="H14" s="2" t="s">
        <v>151</v>
      </c>
      <c r="J14" s="1" t="s">
        <v>152</v>
      </c>
      <c r="K14" s="1">
        <v>2</v>
      </c>
    </row>
    <row r="15" spans="1:12" x14ac:dyDescent="0.25">
      <c r="A15" s="1" t="s">
        <v>153</v>
      </c>
      <c r="B15" s="1" t="s">
        <v>146</v>
      </c>
      <c r="C15" s="1">
        <v>118</v>
      </c>
      <c r="D15" s="26">
        <v>5345</v>
      </c>
      <c r="F15" s="1" t="s">
        <v>154</v>
      </c>
      <c r="G15" s="27">
        <f>AVERAGEIF($B$12:$B$21, "M",$D$12:$D$21)</f>
        <v>5265</v>
      </c>
      <c r="H15" s="2" t="s">
        <v>155</v>
      </c>
      <c r="J15" s="1" t="s">
        <v>156</v>
      </c>
      <c r="K15" s="1">
        <f>MOD(K13,K14)</f>
        <v>1</v>
      </c>
      <c r="L15" s="10" t="s">
        <v>144</v>
      </c>
    </row>
    <row r="16" spans="1:12" x14ac:dyDescent="0.25">
      <c r="A16" s="1" t="s">
        <v>157</v>
      </c>
      <c r="B16" s="1" t="s">
        <v>146</v>
      </c>
      <c r="C16" s="1">
        <v>178</v>
      </c>
      <c r="D16" s="26">
        <v>4427</v>
      </c>
      <c r="F16" s="1" t="s">
        <v>158</v>
      </c>
      <c r="G16" s="28">
        <f>AVERAGEIF($B$12:$B$21, "F",$D$12:$D$21)</f>
        <v>5184.2</v>
      </c>
      <c r="H16" s="2" t="s">
        <v>155</v>
      </c>
    </row>
    <row r="17" spans="1:8" x14ac:dyDescent="0.25">
      <c r="A17" s="1" t="s">
        <v>159</v>
      </c>
      <c r="B17" s="1" t="s">
        <v>146</v>
      </c>
      <c r="C17" s="1">
        <v>169</v>
      </c>
      <c r="D17" s="26">
        <v>5565</v>
      </c>
      <c r="F17" s="2" t="s">
        <v>160</v>
      </c>
      <c r="G17" s="1">
        <f>COUNTA(A12:A21)</f>
        <v>10</v>
      </c>
      <c r="H17" s="2" t="s">
        <v>161</v>
      </c>
    </row>
    <row r="18" spans="1:8" x14ac:dyDescent="0.25">
      <c r="A18" s="1" t="s">
        <v>162</v>
      </c>
      <c r="B18" s="1" t="s">
        <v>142</v>
      </c>
      <c r="C18" s="1">
        <v>156</v>
      </c>
      <c r="D18" s="26">
        <v>6120</v>
      </c>
      <c r="F18" s="1" t="s">
        <v>163</v>
      </c>
      <c r="G18" s="1">
        <f>COUNTIF($B$12:$B$21, "M")</f>
        <v>5</v>
      </c>
      <c r="H18" s="2" t="s">
        <v>164</v>
      </c>
    </row>
    <row r="19" spans="1:8" x14ac:dyDescent="0.25">
      <c r="A19" s="1" t="s">
        <v>165</v>
      </c>
      <c r="B19" s="1" t="s">
        <v>142</v>
      </c>
      <c r="C19" s="1">
        <v>198</v>
      </c>
      <c r="D19" s="26">
        <v>4701</v>
      </c>
      <c r="F19" s="1" t="s">
        <v>166</v>
      </c>
      <c r="G19" s="1">
        <f>COUNTIF($B$12:$B$21, "F")</f>
        <v>5</v>
      </c>
      <c r="H19" s="2" t="s">
        <v>164</v>
      </c>
    </row>
    <row r="20" spans="1:8" x14ac:dyDescent="0.25">
      <c r="A20" s="1" t="s">
        <v>78</v>
      </c>
      <c r="B20" s="1" t="s">
        <v>146</v>
      </c>
      <c r="C20" s="1">
        <v>133</v>
      </c>
      <c r="D20" s="26">
        <v>5210</v>
      </c>
    </row>
    <row r="21" spans="1:8" x14ac:dyDescent="0.25">
      <c r="A21" s="1" t="s">
        <v>167</v>
      </c>
      <c r="B21" s="1" t="s">
        <v>142</v>
      </c>
      <c r="C21" s="1">
        <v>145</v>
      </c>
      <c r="D21" s="26">
        <v>4480</v>
      </c>
    </row>
  </sheetData>
  <mergeCells count="5">
    <mergeCell ref="F1:F2"/>
    <mergeCell ref="H2:J2"/>
    <mergeCell ref="F3:F6"/>
    <mergeCell ref="A10:D10"/>
    <mergeCell ref="J12:K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2"/>
  <sheetViews>
    <sheetView workbookViewId="0">
      <selection activeCell="J12" sqref="J12"/>
    </sheetView>
  </sheetViews>
  <sheetFormatPr defaultRowHeight="15" x14ac:dyDescent="0.25"/>
  <cols>
    <col min="1" max="1" width="10.5703125" bestFit="1" customWidth="1"/>
    <col min="2" max="2" width="10.140625" bestFit="1" customWidth="1"/>
    <col min="3" max="3" width="21" bestFit="1" customWidth="1"/>
    <col min="4" max="4" width="15.85546875" bestFit="1" customWidth="1"/>
    <col min="5" max="5" width="14.28515625" bestFit="1" customWidth="1"/>
    <col min="6" max="6" width="15.42578125" bestFit="1" customWidth="1"/>
    <col min="7" max="7" width="13.28515625" bestFit="1" customWidth="1"/>
    <col min="9" max="9" width="12.140625" bestFit="1" customWidth="1"/>
    <col min="10" max="10" width="7.28515625" bestFit="1" customWidth="1"/>
    <col min="11" max="11" width="41.5703125" bestFit="1" customWidth="1"/>
  </cols>
  <sheetData>
    <row r="1" spans="1:11" x14ac:dyDescent="0.25">
      <c r="A1" s="16" t="s">
        <v>71</v>
      </c>
      <c r="B1" s="16" t="s">
        <v>72</v>
      </c>
      <c r="C1" s="16" t="s">
        <v>73</v>
      </c>
      <c r="D1" s="16" t="s">
        <v>74</v>
      </c>
      <c r="G1" s="16" t="s">
        <v>75</v>
      </c>
      <c r="I1" s="48" t="s">
        <v>76</v>
      </c>
      <c r="J1" s="48"/>
      <c r="K1" s="48"/>
    </row>
    <row r="2" spans="1:11" x14ac:dyDescent="0.25">
      <c r="A2" s="17" t="s">
        <v>77</v>
      </c>
      <c r="B2" s="17" t="s">
        <v>78</v>
      </c>
      <c r="C2" s="18" t="str">
        <f>B2&amp;", "&amp;A2</f>
        <v>Smith, Nancy</v>
      </c>
      <c r="D2" s="18" t="str">
        <f>A2&amp;" "&amp;B2</f>
        <v>Nancy Smith</v>
      </c>
      <c r="E2" s="2" t="s">
        <v>79</v>
      </c>
      <c r="F2" s="1" t="str">
        <f>LEFT(D2,5)</f>
        <v>Nancy</v>
      </c>
      <c r="G2" s="2" t="s">
        <v>80</v>
      </c>
      <c r="I2" s="2" t="s">
        <v>81</v>
      </c>
      <c r="J2" s="2" t="s">
        <v>82</v>
      </c>
      <c r="K2" s="2" t="s">
        <v>83</v>
      </c>
    </row>
    <row r="3" spans="1:11" x14ac:dyDescent="0.25">
      <c r="A3" s="17" t="s">
        <v>84</v>
      </c>
      <c r="B3" s="17" t="s">
        <v>85</v>
      </c>
      <c r="C3" s="18"/>
      <c r="D3" s="18" t="str">
        <f>CONCATENATE(A3, " ",B3)</f>
        <v>Andy North</v>
      </c>
      <c r="E3" s="2" t="s">
        <v>86</v>
      </c>
      <c r="F3" s="1" t="str">
        <f>LEFT(D3,7)</f>
        <v>Andy No</v>
      </c>
      <c r="G3" s="2" t="s">
        <v>80</v>
      </c>
      <c r="I3" s="1" t="s">
        <v>87</v>
      </c>
      <c r="J3" s="1">
        <f>LEN(I3)</f>
        <v>5</v>
      </c>
      <c r="K3" s="1" t="s">
        <v>88</v>
      </c>
    </row>
    <row r="4" spans="1:11" x14ac:dyDescent="0.25">
      <c r="A4" s="17" t="s">
        <v>89</v>
      </c>
      <c r="B4" s="17" t="s">
        <v>90</v>
      </c>
      <c r="C4" s="18"/>
      <c r="D4" s="18" t="str">
        <f t="shared" ref="D4:D9" si="0">CONCATENATE(A4, " ",B4)</f>
        <v>Jan Kotas</v>
      </c>
      <c r="E4" s="2" t="s">
        <v>86</v>
      </c>
      <c r="F4" s="1" t="str">
        <f>RIGHT(D4,5)</f>
        <v>Kotas</v>
      </c>
      <c r="G4" s="2" t="s">
        <v>91</v>
      </c>
      <c r="I4" s="1" t="s">
        <v>92</v>
      </c>
      <c r="J4" s="1">
        <f t="shared" ref="J4:J12" si="1">LEN(I4)</f>
        <v>6</v>
      </c>
      <c r="K4" s="1" t="s">
        <v>93</v>
      </c>
    </row>
    <row r="5" spans="1:11" x14ac:dyDescent="0.25">
      <c r="A5" s="17" t="s">
        <v>94</v>
      </c>
      <c r="B5" s="17" t="s">
        <v>95</v>
      </c>
      <c r="C5" s="18"/>
      <c r="D5" s="18" t="str">
        <f t="shared" si="0"/>
        <v>Mariya Jones</v>
      </c>
      <c r="E5" s="2" t="s">
        <v>86</v>
      </c>
      <c r="F5" s="1" t="str">
        <f>RIGHT(D5,8)</f>
        <v>ya Jones</v>
      </c>
      <c r="G5" s="2" t="s">
        <v>91</v>
      </c>
      <c r="I5" s="1" t="s">
        <v>96</v>
      </c>
      <c r="J5" s="1">
        <f t="shared" si="1"/>
        <v>5</v>
      </c>
      <c r="K5" s="1" t="s">
        <v>97</v>
      </c>
    </row>
    <row r="6" spans="1:11" x14ac:dyDescent="0.25">
      <c r="A6" s="17" t="s">
        <v>98</v>
      </c>
      <c r="B6" s="17" t="s">
        <v>99</v>
      </c>
      <c r="C6" s="18"/>
      <c r="D6" s="18" t="str">
        <f t="shared" si="0"/>
        <v>Steven Thorpe</v>
      </c>
      <c r="E6" s="2" t="s">
        <v>86</v>
      </c>
      <c r="F6" s="1" t="str">
        <f>MID(D6,4,8)</f>
        <v>ven Thor</v>
      </c>
      <c r="G6" s="2" t="s">
        <v>100</v>
      </c>
      <c r="I6" s="1" t="s">
        <v>101</v>
      </c>
      <c r="J6" s="1">
        <f t="shared" si="1"/>
        <v>5</v>
      </c>
      <c r="K6" s="1" t="s">
        <v>97</v>
      </c>
    </row>
    <row r="7" spans="1:11" x14ac:dyDescent="0.25">
      <c r="A7" s="17" t="s">
        <v>102</v>
      </c>
      <c r="B7" s="17" t="s">
        <v>103</v>
      </c>
      <c r="C7" s="18"/>
      <c r="D7" s="18" t="str">
        <f t="shared" si="0"/>
        <v>Michael Neipper</v>
      </c>
      <c r="E7" s="2" t="s">
        <v>86</v>
      </c>
      <c r="F7" s="1" t="str">
        <f>MID(D7,6,5)</f>
        <v>el Ne</v>
      </c>
      <c r="G7" s="2" t="s">
        <v>100</v>
      </c>
      <c r="I7" s="1" t="s">
        <v>104</v>
      </c>
      <c r="J7" s="1">
        <f t="shared" si="1"/>
        <v>12</v>
      </c>
      <c r="K7" s="1" t="s">
        <v>105</v>
      </c>
    </row>
    <row r="8" spans="1:11" x14ac:dyDescent="0.25">
      <c r="A8" s="17" t="s">
        <v>106</v>
      </c>
      <c r="B8" s="17" t="s">
        <v>107</v>
      </c>
      <c r="C8" s="18"/>
      <c r="D8" s="18" t="str">
        <f t="shared" si="0"/>
        <v>Robert Zare</v>
      </c>
      <c r="E8" s="2" t="s">
        <v>86</v>
      </c>
      <c r="F8" s="1" t="str">
        <f>REPLACE(D8,3,4,"@")</f>
        <v>Ro@ Zare</v>
      </c>
      <c r="G8" s="2" t="s">
        <v>108</v>
      </c>
      <c r="I8" s="1"/>
      <c r="J8" s="1">
        <f t="shared" si="1"/>
        <v>0</v>
      </c>
      <c r="K8" s="1" t="s">
        <v>109</v>
      </c>
    </row>
    <row r="9" spans="1:11" x14ac:dyDescent="0.25">
      <c r="A9" s="17" t="s">
        <v>110</v>
      </c>
      <c r="B9" s="17" t="s">
        <v>111</v>
      </c>
      <c r="C9" s="18"/>
      <c r="D9" s="18" t="str">
        <f t="shared" si="0"/>
        <v>Yvonne McKay</v>
      </c>
      <c r="E9" s="2" t="s">
        <v>86</v>
      </c>
      <c r="F9" s="1" t="str">
        <f>UPPER(D9)</f>
        <v>YVONNE MCKAY</v>
      </c>
      <c r="G9" s="2" t="s">
        <v>112</v>
      </c>
      <c r="I9" s="1">
        <v>2000</v>
      </c>
      <c r="J9" s="1">
        <f t="shared" si="1"/>
        <v>4</v>
      </c>
      <c r="K9" s="1" t="s">
        <v>113</v>
      </c>
    </row>
    <row r="10" spans="1:11" x14ac:dyDescent="0.25">
      <c r="I10" s="39">
        <v>2000</v>
      </c>
      <c r="J10" s="1">
        <f t="shared" si="1"/>
        <v>4</v>
      </c>
      <c r="K10" s="1"/>
    </row>
    <row r="11" spans="1:11" x14ac:dyDescent="0.25">
      <c r="I11" s="1">
        <v>200.99</v>
      </c>
      <c r="J11" s="1">
        <f t="shared" si="1"/>
        <v>6</v>
      </c>
      <c r="K11" s="1"/>
    </row>
    <row r="12" spans="1:11" x14ac:dyDescent="0.25">
      <c r="A12" s="49" t="s">
        <v>114</v>
      </c>
      <c r="B12" s="49"/>
      <c r="C12" s="49"/>
      <c r="D12" s="49"/>
      <c r="E12" s="49"/>
      <c r="F12" s="49"/>
      <c r="G12" s="49"/>
      <c r="I12" s="1">
        <v>-2.4500000000000002</v>
      </c>
      <c r="J12" s="1">
        <f t="shared" si="1"/>
        <v>5</v>
      </c>
      <c r="K12" s="1" t="s">
        <v>115</v>
      </c>
    </row>
  </sheetData>
  <mergeCells count="2">
    <mergeCell ref="I1:K1"/>
    <mergeCell ref="A12:G1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6"/>
  <sheetViews>
    <sheetView workbookViewId="0">
      <selection activeCell="G15" sqref="G15"/>
    </sheetView>
  </sheetViews>
  <sheetFormatPr defaultRowHeight="15" x14ac:dyDescent="0.25"/>
  <cols>
    <col min="1" max="1" width="5.140625" bestFit="1" customWidth="1"/>
    <col min="2" max="2" width="13.42578125" bestFit="1" customWidth="1"/>
    <col min="3" max="3" width="10.5703125" style="6" bestFit="1" customWidth="1"/>
    <col min="4" max="4" width="19.85546875" bestFit="1" customWidth="1"/>
    <col min="5" max="5" width="25" style="7" bestFit="1" customWidth="1"/>
    <col min="6" max="6" width="24.140625" style="7" bestFit="1" customWidth="1"/>
    <col min="7" max="7" width="11" bestFit="1" customWidth="1"/>
    <col min="8" max="8" width="47.7109375" customWidth="1"/>
  </cols>
  <sheetData>
    <row r="1" spans="1:8" x14ac:dyDescent="0.25">
      <c r="A1" s="3" t="s">
        <v>18</v>
      </c>
      <c r="B1" s="3" t="s">
        <v>19</v>
      </c>
      <c r="C1" s="4" t="s">
        <v>20</v>
      </c>
      <c r="D1" s="4" t="s">
        <v>35</v>
      </c>
      <c r="E1" s="4" t="s">
        <v>36</v>
      </c>
      <c r="F1" s="4" t="s">
        <v>37</v>
      </c>
      <c r="H1" s="4"/>
    </row>
    <row r="2" spans="1:8" ht="15" customHeight="1" x14ac:dyDescent="0.25">
      <c r="A2" s="1">
        <v>1</v>
      </c>
      <c r="B2" s="1" t="s">
        <v>21</v>
      </c>
      <c r="C2" s="5">
        <v>6284</v>
      </c>
      <c r="D2" s="1">
        <v>1</v>
      </c>
      <c r="E2" s="8">
        <v>1</v>
      </c>
      <c r="F2" s="9">
        <v>0.01</v>
      </c>
      <c r="H2" s="50" t="s">
        <v>38</v>
      </c>
    </row>
    <row r="3" spans="1:8" x14ac:dyDescent="0.25">
      <c r="A3" s="1">
        <v>2</v>
      </c>
      <c r="B3" s="1" t="s">
        <v>22</v>
      </c>
      <c r="C3" s="5">
        <v>6254</v>
      </c>
      <c r="D3" s="1">
        <v>2</v>
      </c>
      <c r="E3" s="9">
        <v>2</v>
      </c>
      <c r="F3" s="9">
        <v>0.02</v>
      </c>
      <c r="H3" s="50"/>
    </row>
    <row r="4" spans="1:8" x14ac:dyDescent="0.25">
      <c r="A4" s="1">
        <v>3</v>
      </c>
      <c r="B4" s="1" t="s">
        <v>23</v>
      </c>
      <c r="C4" s="5">
        <v>6047</v>
      </c>
      <c r="D4" s="1">
        <v>3</v>
      </c>
      <c r="E4" s="8">
        <v>3</v>
      </c>
      <c r="F4" s="9">
        <v>0.03</v>
      </c>
      <c r="H4" s="50"/>
    </row>
    <row r="5" spans="1:8" x14ac:dyDescent="0.25">
      <c r="A5" s="1">
        <v>4</v>
      </c>
      <c r="B5" s="1" t="s">
        <v>24</v>
      </c>
      <c r="C5" s="5">
        <v>9381</v>
      </c>
      <c r="D5" s="1">
        <v>4</v>
      </c>
      <c r="E5" s="8">
        <v>4</v>
      </c>
      <c r="F5" s="9">
        <v>0.04</v>
      </c>
      <c r="H5" s="50"/>
    </row>
    <row r="6" spans="1:8" x14ac:dyDescent="0.25">
      <c r="A6" s="1">
        <v>5</v>
      </c>
      <c r="B6" s="1" t="s">
        <v>25</v>
      </c>
      <c r="C6" s="5">
        <v>7439</v>
      </c>
      <c r="D6" s="1">
        <v>5</v>
      </c>
      <c r="E6" s="8">
        <v>5</v>
      </c>
      <c r="F6" s="9">
        <v>0.05</v>
      </c>
      <c r="H6" s="50"/>
    </row>
    <row r="7" spans="1:8" x14ac:dyDescent="0.25">
      <c r="A7" s="1">
        <v>6</v>
      </c>
      <c r="B7" s="1" t="s">
        <v>26</v>
      </c>
      <c r="C7" s="5">
        <v>9070</v>
      </c>
      <c r="D7" s="1">
        <v>6</v>
      </c>
      <c r="E7" s="8">
        <v>6</v>
      </c>
      <c r="F7" s="9">
        <v>0.06</v>
      </c>
      <c r="H7" s="50"/>
    </row>
    <row r="8" spans="1:8" x14ac:dyDescent="0.25">
      <c r="A8" s="1">
        <v>7</v>
      </c>
      <c r="B8" s="1" t="s">
        <v>27</v>
      </c>
      <c r="C8" s="5">
        <v>8258</v>
      </c>
      <c r="D8" s="1">
        <v>7</v>
      </c>
      <c r="E8" s="8">
        <v>7</v>
      </c>
      <c r="F8" s="9">
        <v>7.0000000000000007E-2</v>
      </c>
      <c r="H8" s="50"/>
    </row>
    <row r="9" spans="1:8" x14ac:dyDescent="0.25">
      <c r="A9" s="1">
        <v>8</v>
      </c>
      <c r="B9" s="1" t="s">
        <v>28</v>
      </c>
      <c r="C9" s="5">
        <v>7875</v>
      </c>
      <c r="D9" s="1">
        <v>8</v>
      </c>
      <c r="E9" s="8">
        <v>8</v>
      </c>
      <c r="F9" s="9">
        <v>0.08</v>
      </c>
      <c r="H9" s="50"/>
    </row>
    <row r="10" spans="1:8" x14ac:dyDescent="0.25">
      <c r="A10" s="1">
        <v>9</v>
      </c>
      <c r="B10" s="1" t="s">
        <v>29</v>
      </c>
      <c r="C10" s="5">
        <v>6484</v>
      </c>
      <c r="D10" s="1">
        <v>9</v>
      </c>
      <c r="E10" s="8">
        <v>9</v>
      </c>
      <c r="F10" s="9">
        <v>0.09</v>
      </c>
      <c r="H10" s="50"/>
    </row>
    <row r="11" spans="1:8" x14ac:dyDescent="0.25">
      <c r="A11" s="1">
        <v>10</v>
      </c>
      <c r="B11" s="1" t="s">
        <v>30</v>
      </c>
      <c r="C11" s="5">
        <v>9328</v>
      </c>
      <c r="D11" s="1">
        <v>10</v>
      </c>
      <c r="E11" s="8">
        <v>10</v>
      </c>
      <c r="F11" s="9">
        <v>0.1</v>
      </c>
      <c r="H11" s="50"/>
    </row>
    <row r="14" spans="1:8" x14ac:dyDescent="0.25">
      <c r="B14" s="3" t="s">
        <v>19</v>
      </c>
      <c r="C14" s="3" t="s">
        <v>63</v>
      </c>
      <c r="D14" s="3" t="s">
        <v>64</v>
      </c>
      <c r="E14" s="3" t="s">
        <v>62</v>
      </c>
      <c r="F14" s="3" t="s">
        <v>48</v>
      </c>
      <c r="G14" s="3" t="s">
        <v>171</v>
      </c>
    </row>
    <row r="15" spans="1:8" x14ac:dyDescent="0.25">
      <c r="B15" s="1" t="s">
        <v>21</v>
      </c>
      <c r="C15" s="30">
        <v>92</v>
      </c>
      <c r="D15" s="30">
        <v>48</v>
      </c>
      <c r="E15" s="30">
        <v>53</v>
      </c>
      <c r="F15" s="31">
        <f>SUM(C15:E15)/3</f>
        <v>64.333333333333329</v>
      </c>
      <c r="G15" s="31">
        <f>SUM(C15:E15)/300*100</f>
        <v>64.333333333333329</v>
      </c>
    </row>
    <row r="16" spans="1:8" x14ac:dyDescent="0.25">
      <c r="B16" s="1" t="s">
        <v>22</v>
      </c>
      <c r="C16" s="30">
        <v>63</v>
      </c>
      <c r="D16" s="30">
        <v>78</v>
      </c>
      <c r="E16" s="30">
        <v>67</v>
      </c>
      <c r="F16" s="31">
        <f>SUM(C16:E16)/3</f>
        <v>69.333333333333329</v>
      </c>
      <c r="G16" s="31">
        <f>SUM(C16:E16)/300*100</f>
        <v>69.333333333333343</v>
      </c>
    </row>
    <row r="17" spans="2:7" x14ac:dyDescent="0.25">
      <c r="B17" s="1" t="s">
        <v>23</v>
      </c>
      <c r="C17" s="30">
        <v>37</v>
      </c>
      <c r="D17" s="30">
        <v>79</v>
      </c>
      <c r="E17" s="30">
        <v>36</v>
      </c>
      <c r="F17" s="31">
        <f>SUM(C17:E17)/3</f>
        <v>50.666666666666664</v>
      </c>
      <c r="G17" s="31">
        <f>SUM(C17:E17)/300*100</f>
        <v>50.666666666666671</v>
      </c>
    </row>
    <row r="18" spans="2:7" x14ac:dyDescent="0.25">
      <c r="B18" s="1" t="s">
        <v>24</v>
      </c>
      <c r="C18" s="30">
        <v>72</v>
      </c>
      <c r="D18" s="30">
        <v>73</v>
      </c>
      <c r="E18" s="30">
        <v>74</v>
      </c>
      <c r="F18" s="31">
        <f>SUM(C18:E18)/3</f>
        <v>73</v>
      </c>
      <c r="G18" s="31">
        <f>SUM(C18:E18)/300*100</f>
        <v>73</v>
      </c>
    </row>
    <row r="19" spans="2:7" x14ac:dyDescent="0.25">
      <c r="B19" s="1" t="s">
        <v>25</v>
      </c>
      <c r="C19" s="30">
        <v>50</v>
      </c>
      <c r="D19" s="30">
        <v>82</v>
      </c>
      <c r="E19" s="30">
        <v>94</v>
      </c>
      <c r="F19" s="31">
        <f>SUM(C19:E19)/3</f>
        <v>75.333333333333329</v>
      </c>
      <c r="G19" s="31">
        <f>SUM(C19:E19)/300*100</f>
        <v>75.333333333333329</v>
      </c>
    </row>
    <row r="20" spans="2:7" x14ac:dyDescent="0.25">
      <c r="B20" s="6"/>
      <c r="C20" s="29"/>
    </row>
    <row r="21" spans="2:7" x14ac:dyDescent="0.25">
      <c r="B21" s="6"/>
    </row>
    <row r="22" spans="2:7" x14ac:dyDescent="0.25">
      <c r="B22" s="6"/>
    </row>
    <row r="23" spans="2:7" x14ac:dyDescent="0.25">
      <c r="B23" s="6"/>
    </row>
    <row r="24" spans="2:7" x14ac:dyDescent="0.25">
      <c r="B24" s="6"/>
    </row>
    <row r="25" spans="2:7" x14ac:dyDescent="0.25">
      <c r="B25" s="6"/>
    </row>
    <row r="26" spans="2:7" x14ac:dyDescent="0.25">
      <c r="B26" s="6"/>
    </row>
  </sheetData>
  <mergeCells count="1">
    <mergeCell ref="H2:H11"/>
  </mergeCells>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22"/>
  <sheetViews>
    <sheetView workbookViewId="0">
      <selection activeCell="I13" sqref="I13"/>
    </sheetView>
  </sheetViews>
  <sheetFormatPr defaultRowHeight="15" x14ac:dyDescent="0.25"/>
  <cols>
    <col min="1" max="1" width="13.28515625" bestFit="1" customWidth="1"/>
    <col min="2" max="2" width="7.42578125" bestFit="1" customWidth="1"/>
    <col min="3" max="3" width="17.5703125" bestFit="1" customWidth="1"/>
    <col min="4" max="4" width="18" bestFit="1" customWidth="1"/>
    <col min="5" max="5" width="16.42578125" bestFit="1" customWidth="1"/>
    <col min="6" max="6" width="9.7109375" bestFit="1" customWidth="1"/>
    <col min="7" max="7" width="6.5703125" bestFit="1" customWidth="1"/>
    <col min="8" max="8" width="6.28515625" bestFit="1" customWidth="1"/>
    <col min="9" max="9" width="16.140625" bestFit="1" customWidth="1"/>
    <col min="10" max="10" width="8.7109375" bestFit="1" customWidth="1"/>
    <col min="11" max="11" width="11.7109375" bestFit="1" customWidth="1"/>
    <col min="12" max="12" width="5.28515625" bestFit="1" customWidth="1"/>
    <col min="13" max="13" width="6.5703125" bestFit="1" customWidth="1"/>
    <col min="14" max="14" width="6" bestFit="1" customWidth="1"/>
    <col min="15" max="15" width="11" bestFit="1" customWidth="1"/>
    <col min="16" max="16" width="26.5703125" bestFit="1" customWidth="1"/>
  </cols>
  <sheetData>
    <row r="1" spans="1:16" x14ac:dyDescent="0.25">
      <c r="A1" s="3" t="s">
        <v>19</v>
      </c>
      <c r="B1" s="3" t="s">
        <v>63</v>
      </c>
      <c r="C1" s="3" t="s">
        <v>64</v>
      </c>
      <c r="D1" s="3" t="s">
        <v>62</v>
      </c>
      <c r="E1" s="3" t="s">
        <v>171</v>
      </c>
      <c r="F1" s="3" t="s">
        <v>172</v>
      </c>
      <c r="G1" s="3" t="s">
        <v>173</v>
      </c>
      <c r="J1" s="51" t="s">
        <v>198</v>
      </c>
      <c r="K1" s="51"/>
      <c r="L1" s="51"/>
      <c r="M1" s="51"/>
      <c r="N1" s="51"/>
      <c r="O1" s="51"/>
    </row>
    <row r="2" spans="1:16" x14ac:dyDescent="0.25">
      <c r="A2" s="1" t="s">
        <v>21</v>
      </c>
      <c r="B2" s="30">
        <v>92</v>
      </c>
      <c r="C2" s="30">
        <v>48</v>
      </c>
      <c r="D2" s="30">
        <v>53</v>
      </c>
      <c r="E2" s="30">
        <f>SUM(B2:D2)/300*100</f>
        <v>64.333333333333329</v>
      </c>
      <c r="F2" s="1" t="str">
        <f>IF(E2&gt;90,"First Hons",IF(E2&gt;60,"First","NO"))</f>
        <v>First</v>
      </c>
      <c r="G2" s="1" t="str">
        <f>IF(AND(B2&gt;=33,C2&gt;=33,D2&gt;=33),"Pass","Fail")</f>
        <v>Pass</v>
      </c>
      <c r="H2" s="3" t="s">
        <v>183</v>
      </c>
      <c r="I2" s="3" t="s">
        <v>184</v>
      </c>
      <c r="J2" s="3" t="s">
        <v>185</v>
      </c>
      <c r="K2" s="3" t="s">
        <v>186</v>
      </c>
      <c r="L2" s="3" t="s">
        <v>187</v>
      </c>
      <c r="M2" s="3" t="s">
        <v>173</v>
      </c>
      <c r="N2" s="3" t="s">
        <v>188</v>
      </c>
      <c r="O2" s="3" t="s">
        <v>189</v>
      </c>
      <c r="P2" s="3" t="s">
        <v>190</v>
      </c>
    </row>
    <row r="3" spans="1:16" x14ac:dyDescent="0.25">
      <c r="A3" s="1" t="s">
        <v>22</v>
      </c>
      <c r="B3" s="30">
        <v>99</v>
      </c>
      <c r="C3" s="30">
        <v>96</v>
      </c>
      <c r="D3" s="30">
        <v>89</v>
      </c>
      <c r="E3" s="30">
        <f>SUM(B3:D3)/300*100</f>
        <v>94.666666666666671</v>
      </c>
      <c r="F3" s="1" t="str">
        <f>IF(E3&gt;90,"First Hons",IF(E3&gt;60,"First","NO"))</f>
        <v>First Hons</v>
      </c>
      <c r="G3" s="1" t="str">
        <f>IF(AND(B3&gt;=33,C3&gt;=33,D3&gt;=33),"Pass","Fail")</f>
        <v>Pass</v>
      </c>
      <c r="H3" s="1">
        <v>1</v>
      </c>
      <c r="I3" s="1" t="s">
        <v>21</v>
      </c>
      <c r="J3" s="34">
        <v>95</v>
      </c>
      <c r="K3" s="34">
        <v>98</v>
      </c>
      <c r="L3" s="34">
        <v>90</v>
      </c>
      <c r="M3" s="1" t="str">
        <f>IF(AND(J3&gt;=35,K3&gt;=35,L3&gt;=35),"Pass","Fail")</f>
        <v>Pass</v>
      </c>
      <c r="N3" s="31">
        <f>SUM(J3:L3)/300*100</f>
        <v>94.333333333333343</v>
      </c>
      <c r="O3" s="1" t="str">
        <f>IF(N3&gt;=90,"A++",IF(N3&gt;=75,"A+",IF(N3&gt;=60,"A",IF(N3&gt;=45,"B",IF(N3&gt;=35,"C","FAIL")))))</f>
        <v>A++</v>
      </c>
      <c r="P3" s="1" t="str">
        <f>IF(M3="Fail","Fail",IF(N3&gt;=90,"A++",IF(N3&gt;=75,"A+",IF(N3&gt;=60,"A",IF(N3&gt;=45,"B",IF(N3&gt;=35,"C","Fail"))))))</f>
        <v>A++</v>
      </c>
    </row>
    <row r="4" spans="1:16" x14ac:dyDescent="0.25">
      <c r="A4" s="1" t="s">
        <v>23</v>
      </c>
      <c r="B4" s="30">
        <v>37</v>
      </c>
      <c r="C4" s="30">
        <v>79</v>
      </c>
      <c r="D4" s="30">
        <v>30</v>
      </c>
      <c r="E4" s="30">
        <f>SUM(B4:D4)/300*100</f>
        <v>48.666666666666671</v>
      </c>
      <c r="F4" s="1" t="str">
        <f>IF(E4&gt;90,"First Hons",IF(E4&gt;60,"First","NO"))</f>
        <v>NO</v>
      </c>
      <c r="G4" s="1" t="str">
        <f>IF(AND(B4&gt;=33,C4&gt;=33,D4&gt;=33),"Pass","Fail")</f>
        <v>Fail</v>
      </c>
      <c r="H4" s="1">
        <v>2</v>
      </c>
      <c r="I4" s="1" t="s">
        <v>22</v>
      </c>
      <c r="J4" s="34">
        <v>36</v>
      </c>
      <c r="K4" s="34">
        <v>42</v>
      </c>
      <c r="L4" s="34">
        <v>35</v>
      </c>
      <c r="M4" s="1" t="str">
        <f>IF(AND(J4&gt;=35,K4&gt;=35,L4&gt;=35),"Pass","Fail")</f>
        <v>Pass</v>
      </c>
      <c r="N4" s="31">
        <f>SUM(J4:L4)/300*100</f>
        <v>37.666666666666664</v>
      </c>
      <c r="O4" s="1" t="str">
        <f>IF(N4&gt;=90,"A++",IF(N4&gt;=75,"A+",IF(N4&gt;=60,"A",IF(N4&gt;=45,"B",IF(N4&gt;=35,"C","FAIL")))))</f>
        <v>C</v>
      </c>
      <c r="P4" s="1" t="str">
        <f>IF(M4="Fail","Fail",IF(N4&gt;=90,"A++",IF(N4&gt;=75,"A+",IF(N4&gt;=60,"A",IF(N4&gt;=45,"B",IF(N4&gt;=35,"C","Fail"))))))</f>
        <v>C</v>
      </c>
    </row>
    <row r="5" spans="1:16" x14ac:dyDescent="0.25">
      <c r="A5" s="1" t="s">
        <v>24</v>
      </c>
      <c r="B5" s="30">
        <v>72</v>
      </c>
      <c r="C5" s="30">
        <v>73</v>
      </c>
      <c r="D5" s="30">
        <v>74</v>
      </c>
      <c r="E5" s="30">
        <f>SUM(B5:D5)/300*100</f>
        <v>73</v>
      </c>
      <c r="F5" s="1" t="str">
        <f>IF(E5&gt;90,"First Hons",IF(E5&gt;60,"First","NO"))</f>
        <v>First</v>
      </c>
      <c r="G5" s="1" t="str">
        <f>IF(AND(B5&gt;=33,C5&gt;=33,D5&gt;=33),"Pass","Fail")</f>
        <v>Pass</v>
      </c>
      <c r="H5" s="1">
        <v>3</v>
      </c>
      <c r="I5" s="1" t="s">
        <v>23</v>
      </c>
      <c r="J5" s="34">
        <v>70</v>
      </c>
      <c r="K5" s="34">
        <v>65</v>
      </c>
      <c r="L5" s="34">
        <v>80</v>
      </c>
      <c r="M5" s="1" t="str">
        <f>IF(AND(J5&gt;=35,K5&gt;=35,L5&gt;=35),"Pass","Fail")</f>
        <v>Pass</v>
      </c>
      <c r="N5" s="31">
        <f>SUM(J5:L5)/300*100</f>
        <v>71.666666666666671</v>
      </c>
      <c r="O5" s="1" t="str">
        <f>IF(N5&gt;=90,"A++",IF(N5&gt;=75,"A+",IF(N5&gt;=60,"A",IF(N5&gt;=45,"B",IF(N5&gt;=35,"C","FAIL")))))</f>
        <v>A</v>
      </c>
      <c r="P5" s="1" t="str">
        <f>IF(M5="Fail","Fail",IF(N5&gt;=90,"A++",IF(N5&gt;=75,"A+",IF(N5&gt;=60,"A",IF(N5&gt;=45,"B",IF(N5&gt;=35,"C","Fail"))))))</f>
        <v>A</v>
      </c>
    </row>
    <row r="6" spans="1:16" x14ac:dyDescent="0.25">
      <c r="A6" s="1" t="s">
        <v>25</v>
      </c>
      <c r="B6" s="30">
        <v>50</v>
      </c>
      <c r="C6" s="30">
        <v>82</v>
      </c>
      <c r="D6" s="30">
        <v>94</v>
      </c>
      <c r="E6" s="30">
        <f>SUM(B6:D6)/300*100</f>
        <v>75.333333333333329</v>
      </c>
      <c r="F6" s="1" t="str">
        <f>IF(E6&gt;90,"First Hons",IF(E6&gt;60,"First","NO"))</f>
        <v>First</v>
      </c>
      <c r="G6" s="1" t="str">
        <f>IF(AND(B6&gt;=33,C6&gt;=33,D6&gt;=33),"Pass","Fail")</f>
        <v>Pass</v>
      </c>
      <c r="H6" s="1">
        <v>4</v>
      </c>
      <c r="I6" s="1" t="s">
        <v>24</v>
      </c>
      <c r="J6" s="34">
        <v>35</v>
      </c>
      <c r="K6" s="34">
        <v>55</v>
      </c>
      <c r="L6" s="34">
        <v>73</v>
      </c>
      <c r="M6" s="1" t="str">
        <f>IF(AND(J6&gt;=35,K6&gt;=35,L6&gt;=35),"Pass","Fail")</f>
        <v>Pass</v>
      </c>
      <c r="N6" s="31">
        <f>SUM(J6:L6)/300*100</f>
        <v>54.333333333333336</v>
      </c>
      <c r="O6" s="1" t="str">
        <f>IF(N6&gt;=90,"A++",IF(N6&gt;=75,"A+",IF(N6&gt;=60,"A",IF(N6&gt;=45,"B",IF(N6&gt;=35,"C","FAIL")))))</f>
        <v>B</v>
      </c>
      <c r="P6" s="1" t="str">
        <f>IF(M6="Fail","Fail",IF(N6&gt;=90,"A++",IF(N6&gt;=75,"A+",IF(N6&gt;=60,"A",IF(N6&gt;=45,"B",IF(N6&gt;=35,"C","Fail"))))))</f>
        <v>B</v>
      </c>
    </row>
    <row r="7" spans="1:16" x14ac:dyDescent="0.25">
      <c r="H7" s="1">
        <v>5</v>
      </c>
      <c r="I7" s="1" t="s">
        <v>25</v>
      </c>
      <c r="J7" s="34">
        <v>28</v>
      </c>
      <c r="K7" s="34">
        <v>88</v>
      </c>
      <c r="L7" s="34">
        <v>87</v>
      </c>
      <c r="M7" s="1" t="str">
        <f>IF(AND(J7&gt;=35,K7&gt;=35,L7&gt;=35),"Pass","Fail")</f>
        <v>Fail</v>
      </c>
      <c r="N7" s="31">
        <f>SUM(J7:L7)/300*100</f>
        <v>67.666666666666657</v>
      </c>
      <c r="O7" s="1" t="str">
        <f>IF(N7&gt;=90,"A++",IF(N7&gt;=75,"A+",IF(N7&gt;=60,"A",IF(N7&gt;=45,"B",IF(N7&gt;=35,"C","FAIL")))))</f>
        <v>A</v>
      </c>
      <c r="P7" s="1" t="str">
        <f>IF(M7="Fail","Fail",IF(N7&gt;=90,"A++",IF(N7&gt;=75,"A+",IF(N7&gt;=60,"A",IF(N7&gt;=45,"B",IF(N7&gt;=35,"C","Fail"))))))</f>
        <v>Fail</v>
      </c>
    </row>
    <row r="8" spans="1:16" x14ac:dyDescent="0.25">
      <c r="K8" s="33"/>
    </row>
    <row r="9" spans="1:16" x14ac:dyDescent="0.25">
      <c r="A9" s="51" t="s">
        <v>618</v>
      </c>
      <c r="B9" s="51"/>
      <c r="C9" s="51"/>
      <c r="D9" s="51"/>
      <c r="E9" s="51"/>
      <c r="F9" s="51"/>
      <c r="G9" s="51"/>
      <c r="K9" s="33"/>
    </row>
    <row r="10" spans="1:16" x14ac:dyDescent="0.25">
      <c r="L10" t="s">
        <v>194</v>
      </c>
      <c r="M10" t="s">
        <v>188</v>
      </c>
      <c r="N10">
        <v>90</v>
      </c>
      <c r="O10" t="s">
        <v>195</v>
      </c>
    </row>
    <row r="11" spans="1:16" x14ac:dyDescent="0.25">
      <c r="L11" t="s">
        <v>196</v>
      </c>
      <c r="M11" t="s">
        <v>196</v>
      </c>
      <c r="N11">
        <v>75</v>
      </c>
      <c r="O11" t="s">
        <v>197</v>
      </c>
    </row>
    <row r="12" spans="1:16" x14ac:dyDescent="0.25">
      <c r="A12" s="3" t="s">
        <v>174</v>
      </c>
      <c r="B12" s="3" t="s">
        <v>175</v>
      </c>
      <c r="C12" s="3" t="s">
        <v>176</v>
      </c>
      <c r="D12" s="3" t="s">
        <v>181</v>
      </c>
      <c r="E12" s="3" t="s">
        <v>182</v>
      </c>
      <c r="N12">
        <v>60</v>
      </c>
      <c r="O12" t="s">
        <v>191</v>
      </c>
    </row>
    <row r="13" spans="1:16" x14ac:dyDescent="0.25">
      <c r="A13" s="1" t="s">
        <v>21</v>
      </c>
      <c r="B13" s="1">
        <v>126</v>
      </c>
      <c r="C13" s="1">
        <v>9</v>
      </c>
      <c r="D13" s="1" t="str">
        <f>IF(AND(B13&gt;=130,C13&gt;=5),"YES","NO")</f>
        <v>NO</v>
      </c>
      <c r="E13" s="1" t="str">
        <f>IF(OR(B13&gt;=130,C13&gt;=5),"YES","NO")</f>
        <v>YES</v>
      </c>
      <c r="N13">
        <v>45</v>
      </c>
      <c r="O13" t="s">
        <v>192</v>
      </c>
    </row>
    <row r="14" spans="1:16" x14ac:dyDescent="0.25">
      <c r="A14" s="1" t="s">
        <v>22</v>
      </c>
      <c r="B14" s="1">
        <v>145</v>
      </c>
      <c r="C14" s="1">
        <v>5</v>
      </c>
      <c r="D14" s="1" t="str">
        <f>IF(AND(B14&gt;=130,C14&gt;=5),"YES","NO")</f>
        <v>YES</v>
      </c>
      <c r="E14" s="1" t="str">
        <f>IF(OR(B14&gt;=130,C14&gt;=5),"YES","NO")</f>
        <v>YES</v>
      </c>
      <c r="I14" s="35"/>
      <c r="N14">
        <v>35</v>
      </c>
      <c r="O14" t="s">
        <v>193</v>
      </c>
    </row>
    <row r="15" spans="1:16" x14ac:dyDescent="0.25">
      <c r="A15" s="1" t="s">
        <v>23</v>
      </c>
      <c r="B15" s="1">
        <v>121</v>
      </c>
      <c r="C15" s="1">
        <v>8</v>
      </c>
      <c r="D15" s="1" t="str">
        <f>IF(AND(B15&gt;=130,C15&gt;=5),"YES","NO")</f>
        <v>NO</v>
      </c>
      <c r="E15" s="1" t="str">
        <f>IF(OR(B15&gt;=130,C15&gt;=5),"YES","NO")</f>
        <v>YES</v>
      </c>
    </row>
    <row r="16" spans="1:16" x14ac:dyDescent="0.25">
      <c r="A16" s="1" t="s">
        <v>24</v>
      </c>
      <c r="B16" s="1">
        <v>123</v>
      </c>
      <c r="C16" s="1">
        <v>3</v>
      </c>
      <c r="D16" s="1" t="str">
        <f>IF(AND(B16&gt;=130,C16&gt;=5),"YES","NO")</f>
        <v>NO</v>
      </c>
      <c r="E16" s="1" t="str">
        <f>IF(OR(B16&gt;=130,C16&gt;=5),"YES","NO")</f>
        <v>NO</v>
      </c>
      <c r="M16" s="52" t="s">
        <v>614</v>
      </c>
      <c r="N16" s="52"/>
      <c r="O16" s="52"/>
      <c r="P16" s="52"/>
    </row>
    <row r="17" spans="1:16" x14ac:dyDescent="0.25">
      <c r="A17" s="1" t="s">
        <v>25</v>
      </c>
      <c r="B17" s="1">
        <v>111</v>
      </c>
      <c r="C17" s="1">
        <v>8</v>
      </c>
      <c r="D17" s="1" t="str">
        <f>IF(AND(B17&gt;=130,C17&gt;=5),"YES","NO")</f>
        <v>NO</v>
      </c>
      <c r="E17" s="1" t="str">
        <f>IF(OR(B17&gt;=130,C17&gt;=5),"YES","NO")</f>
        <v>YES</v>
      </c>
      <c r="I17" s="3" t="s">
        <v>19</v>
      </c>
      <c r="J17" s="3" t="s">
        <v>612</v>
      </c>
      <c r="K17" s="3" t="s">
        <v>613</v>
      </c>
      <c r="M17" s="52" t="s">
        <v>615</v>
      </c>
      <c r="N17" s="52"/>
      <c r="O17" s="52"/>
      <c r="P17" s="36">
        <v>0.2</v>
      </c>
    </row>
    <row r="18" spans="1:16" x14ac:dyDescent="0.25">
      <c r="I18" s="1" t="s">
        <v>128</v>
      </c>
      <c r="J18" s="30">
        <v>92</v>
      </c>
      <c r="K18" s="38" t="e">
        <f ca="1">IFS(J18&gt;=10,20%,J18&gt;=5,10%,J18&lt;5,0)</f>
        <v>#NAME?</v>
      </c>
      <c r="M18" s="52" t="s">
        <v>616</v>
      </c>
      <c r="N18" s="52"/>
      <c r="O18" s="52"/>
      <c r="P18" s="36">
        <v>0.1</v>
      </c>
    </row>
    <row r="19" spans="1:16" x14ac:dyDescent="0.25">
      <c r="D19" s="32" t="s">
        <v>177</v>
      </c>
      <c r="E19" s="32" t="s">
        <v>180</v>
      </c>
      <c r="I19" s="1" t="s">
        <v>608</v>
      </c>
      <c r="J19" s="30">
        <v>99</v>
      </c>
      <c r="K19" s="38" t="e">
        <f ca="1">IFS(J19&gt;=10,20%,J19&gt;=5,10%,J19&lt;5,0)</f>
        <v>#NAME?</v>
      </c>
      <c r="M19" s="52" t="s">
        <v>617</v>
      </c>
      <c r="N19" s="52"/>
      <c r="O19" s="52"/>
      <c r="P19" s="37">
        <v>0</v>
      </c>
    </row>
    <row r="20" spans="1:16" x14ac:dyDescent="0.25">
      <c r="D20" s="32" t="s">
        <v>178</v>
      </c>
      <c r="E20" s="32" t="s">
        <v>178</v>
      </c>
      <c r="I20" s="1" t="s">
        <v>609</v>
      </c>
      <c r="J20" s="30">
        <v>37</v>
      </c>
      <c r="K20" s="38" t="e">
        <f ca="1">IFS(J20&gt;=10,20%,J20&gt;=5,10%,J20&lt;5,0)</f>
        <v>#NAME?</v>
      </c>
    </row>
    <row r="21" spans="1:16" x14ac:dyDescent="0.25">
      <c r="D21" s="32" t="s">
        <v>179</v>
      </c>
      <c r="E21" s="32" t="s">
        <v>179</v>
      </c>
      <c r="I21" s="1" t="s">
        <v>610</v>
      </c>
      <c r="J21" s="30">
        <v>72</v>
      </c>
      <c r="K21" s="38" t="e">
        <f ca="1">IFS(J21&gt;=10,20%,J21&gt;=5,10%,J21&lt;5,0)</f>
        <v>#NAME?</v>
      </c>
    </row>
    <row r="22" spans="1:16" x14ac:dyDescent="0.25">
      <c r="I22" s="1" t="s">
        <v>611</v>
      </c>
      <c r="J22" s="30">
        <v>50</v>
      </c>
      <c r="K22" s="38" t="e">
        <f ca="1">IFS(J22&gt;=10,20%,J22&gt;=5,10%,J22&lt;5,0)</f>
        <v>#NAME?</v>
      </c>
    </row>
  </sheetData>
  <mergeCells count="6">
    <mergeCell ref="A9:G9"/>
    <mergeCell ref="J1:O1"/>
    <mergeCell ref="M17:O17"/>
    <mergeCell ref="M18:O18"/>
    <mergeCell ref="M19:O19"/>
    <mergeCell ref="M16:P16"/>
  </mergeCells>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3"/>
  <sheetViews>
    <sheetView tabSelected="1" workbookViewId="0">
      <selection activeCell="G17" sqref="G17"/>
    </sheetView>
  </sheetViews>
  <sheetFormatPr defaultRowHeight="15" x14ac:dyDescent="0.25"/>
  <cols>
    <col min="1" max="1" width="7.7109375" bestFit="1" customWidth="1"/>
    <col min="2" max="2" width="7.42578125" bestFit="1" customWidth="1"/>
    <col min="3" max="3" width="10" bestFit="1" customWidth="1"/>
    <col min="4" max="4" width="5.7109375" bestFit="1" customWidth="1"/>
    <col min="5" max="5" width="6.5703125" bestFit="1" customWidth="1"/>
    <col min="6" max="6" width="11" bestFit="1" customWidth="1"/>
    <col min="8" max="8" width="7.7109375" bestFit="1" customWidth="1"/>
    <col min="9" max="9" width="7.42578125" bestFit="1" customWidth="1"/>
    <col min="10" max="10" width="10" bestFit="1" customWidth="1"/>
    <col min="11" max="11" width="5.7109375" bestFit="1" customWidth="1"/>
    <col min="12" max="12" width="6.5703125" bestFit="1" customWidth="1"/>
    <col min="16" max="16" width="10.28515625" bestFit="1" customWidth="1"/>
    <col min="17" max="17" width="31" bestFit="1" customWidth="1"/>
  </cols>
  <sheetData>
    <row r="1" spans="1:17" x14ac:dyDescent="0.25">
      <c r="A1" s="3" t="s">
        <v>19</v>
      </c>
      <c r="B1" s="3" t="s">
        <v>63</v>
      </c>
      <c r="C1" s="3" t="s">
        <v>64</v>
      </c>
      <c r="D1" s="3" t="s">
        <v>62</v>
      </c>
      <c r="E1" s="3" t="s">
        <v>173</v>
      </c>
      <c r="F1" s="3" t="s">
        <v>171</v>
      </c>
      <c r="H1" s="3" t="s">
        <v>19</v>
      </c>
      <c r="I1" s="3" t="s">
        <v>63</v>
      </c>
      <c r="J1" s="3" t="s">
        <v>64</v>
      </c>
      <c r="K1" s="3" t="s">
        <v>62</v>
      </c>
      <c r="L1" s="3" t="s">
        <v>173</v>
      </c>
    </row>
    <row r="2" spans="1:17" x14ac:dyDescent="0.25">
      <c r="A2" s="1" t="s">
        <v>128</v>
      </c>
      <c r="B2" s="30">
        <v>92</v>
      </c>
      <c r="C2" s="30">
        <v>48</v>
      </c>
      <c r="D2" s="30">
        <v>53</v>
      </c>
      <c r="E2" s="1" t="str">
        <f>IF(AND(B2&gt;=33, C2&gt;=33, D2&gt;=33),"Pass","Fail")</f>
        <v>Pass</v>
      </c>
      <c r="F2" s="31">
        <f>SUM(B2:D2)/300*100</f>
        <v>64.333333333333329</v>
      </c>
      <c r="H2" s="1" t="s">
        <v>128</v>
      </c>
      <c r="I2" s="30">
        <v>92</v>
      </c>
      <c r="J2" s="30">
        <v>48</v>
      </c>
      <c r="K2" s="30">
        <v>53</v>
      </c>
      <c r="L2" s="1" t="str">
        <f>IF(AND(I2&gt;=33, J2&gt;=33, K2&gt;=33),"Pass","Fail")</f>
        <v>Pass</v>
      </c>
    </row>
    <row r="3" spans="1:17" x14ac:dyDescent="0.25">
      <c r="A3" s="1" t="s">
        <v>608</v>
      </c>
      <c r="B3" s="30">
        <v>99</v>
      </c>
      <c r="C3" s="30">
        <v>96</v>
      </c>
      <c r="D3" s="30">
        <v>89</v>
      </c>
      <c r="E3" s="1" t="str">
        <f>IF(AND(B3&gt;=33, C3&gt;=33, D3&gt;=33),"Pass","Fail")</f>
        <v>Pass</v>
      </c>
      <c r="F3" s="31">
        <f>SUM(B3:D3)/300*100</f>
        <v>94.666666666666671</v>
      </c>
      <c r="H3" s="1" t="s">
        <v>608</v>
      </c>
      <c r="I3" s="30">
        <v>99</v>
      </c>
      <c r="J3" s="30">
        <v>96</v>
      </c>
      <c r="K3" s="30">
        <v>89</v>
      </c>
      <c r="L3" s="1" t="str">
        <f>IF(AND(I3&gt;=33, J3&gt;=33, K3&gt;=33),"Pass","Fail")</f>
        <v>Pass</v>
      </c>
    </row>
    <row r="4" spans="1:17" x14ac:dyDescent="0.25">
      <c r="A4" s="1" t="s">
        <v>609</v>
      </c>
      <c r="B4" s="30">
        <v>37</v>
      </c>
      <c r="C4" s="30">
        <v>79</v>
      </c>
      <c r="D4" s="30">
        <v>30</v>
      </c>
      <c r="E4" s="1" t="str">
        <f>IF(AND(B4&gt;=33, C4&gt;=33, D4&gt;=33),"Pass","Fail")</f>
        <v>Fail</v>
      </c>
      <c r="F4" s="31">
        <f>SUM(B4:D4)/300*100</f>
        <v>48.666666666666671</v>
      </c>
      <c r="H4" s="1" t="s">
        <v>609</v>
      </c>
      <c r="I4" s="30">
        <v>37</v>
      </c>
      <c r="J4" s="30">
        <v>79</v>
      </c>
      <c r="K4" s="30">
        <v>30</v>
      </c>
      <c r="L4" s="1" t="str">
        <f>IF(AND(I4&gt;=33, J4&gt;=33, K4&gt;=33),"Pass","Fail")</f>
        <v>Fail</v>
      </c>
    </row>
    <row r="5" spans="1:17" x14ac:dyDescent="0.25">
      <c r="A5" s="1" t="s">
        <v>610</v>
      </c>
      <c r="B5" s="30">
        <v>72</v>
      </c>
      <c r="C5" s="30">
        <v>73</v>
      </c>
      <c r="D5" s="30">
        <v>74</v>
      </c>
      <c r="E5" s="1" t="str">
        <f>IF(AND(B5&gt;=33, C5&gt;=33, D5&gt;=33),"Pass","Fail")</f>
        <v>Pass</v>
      </c>
      <c r="F5" s="31">
        <f>SUM(B5:D5)/300*100</f>
        <v>73</v>
      </c>
      <c r="H5" s="1" t="s">
        <v>610</v>
      </c>
      <c r="I5" s="30">
        <v>72</v>
      </c>
      <c r="J5" s="30">
        <v>73</v>
      </c>
      <c r="K5" s="30">
        <v>74</v>
      </c>
      <c r="L5" s="1" t="str">
        <f>IF(AND(I5&gt;=33, J5&gt;=33, K5&gt;=33),"Pass","Fail")</f>
        <v>Pass</v>
      </c>
      <c r="M5" t="s">
        <v>622</v>
      </c>
    </row>
    <row r="6" spans="1:17" x14ac:dyDescent="0.25">
      <c r="A6" s="1" t="s">
        <v>611</v>
      </c>
      <c r="B6" s="30">
        <v>50</v>
      </c>
      <c r="C6" s="30">
        <v>82</v>
      </c>
      <c r="D6" s="30">
        <v>94</v>
      </c>
      <c r="E6" s="1" t="str">
        <f>IF(AND(B6&gt;=33, C6&gt;=33, D6&gt;=33),"Pass","Fail")</f>
        <v>Pass</v>
      </c>
      <c r="F6" s="31">
        <f>SUM(B6:D6)/300*100</f>
        <v>75.333333333333329</v>
      </c>
      <c r="H6" s="1" t="s">
        <v>611</v>
      </c>
      <c r="I6" s="30">
        <v>50</v>
      </c>
      <c r="J6" s="30">
        <v>82</v>
      </c>
      <c r="K6" s="30">
        <v>98</v>
      </c>
      <c r="L6" s="1" t="str">
        <f>IF(AND(I6&gt;=33, J6&gt;=33, K6&gt;=33),"Pass","Fail")</f>
        <v>Pass</v>
      </c>
    </row>
    <row r="7" spans="1:17" x14ac:dyDescent="0.25">
      <c r="A7" s="53" t="s">
        <v>619</v>
      </c>
      <c r="B7" s="53"/>
      <c r="C7" s="53"/>
      <c r="D7" s="53"/>
      <c r="E7" s="53"/>
      <c r="F7" s="53"/>
    </row>
    <row r="8" spans="1:17" x14ac:dyDescent="0.25">
      <c r="A8" s="53"/>
      <c r="B8" s="53"/>
      <c r="C8" s="53"/>
      <c r="D8" s="53"/>
      <c r="E8" s="53"/>
      <c r="F8" s="53"/>
    </row>
    <row r="10" spans="1:17" x14ac:dyDescent="0.25">
      <c r="P10" t="s">
        <v>625</v>
      </c>
      <c r="Q10" t="s">
        <v>624</v>
      </c>
    </row>
    <row r="11" spans="1:17" x14ac:dyDescent="0.25">
      <c r="P11" t="s">
        <v>623</v>
      </c>
      <c r="Q11" t="s">
        <v>626</v>
      </c>
    </row>
    <row r="13" spans="1:17" x14ac:dyDescent="0.25">
      <c r="N13" t="s">
        <v>622</v>
      </c>
    </row>
  </sheetData>
  <mergeCells count="1">
    <mergeCell ref="A7:F8"/>
  </mergeCells>
  <conditionalFormatting sqref="F2:F6">
    <cfRule type="cellIs" dxfId="2" priority="4" operator="greaterThan">
      <formula>60</formula>
    </cfRule>
  </conditionalFormatting>
  <conditionalFormatting sqref="B2:D6">
    <cfRule type="cellIs" dxfId="1" priority="3" operator="lessThan">
      <formula>33</formula>
    </cfRule>
  </conditionalFormatting>
  <conditionalFormatting sqref="I2:K6">
    <cfRule type="dataBar" priority="1">
      <dataBar>
        <cfvo type="min"/>
        <cfvo type="max"/>
        <color rgb="FF638EC6"/>
      </dataBar>
      <extLst>
        <ext xmlns:x14="http://schemas.microsoft.com/office/spreadsheetml/2009/9/main" uri="{B025F937-C7B1-47D3-B67F-A62EFF666E3E}">
          <x14:id>{ADF193CC-6239-47BB-A9D8-B803A736745B}</x14:id>
        </ext>
      </extLst>
    </cfRule>
  </conditionalFormatting>
  <pageMargins left="0.7" right="0.7" top="0.75" bottom="0.75" header="0.3" footer="0.3"/>
  <pageSetup orientation="portrait" horizontalDpi="300" verticalDpi="300" r:id="rId1"/>
  <extLst>
    <ext xmlns:x14="http://schemas.microsoft.com/office/spreadsheetml/2009/9/main" uri="{78C0D931-6437-407d-A8EE-F0AAD7539E65}">
      <x14:conditionalFormattings>
        <x14:conditionalFormatting xmlns:xm="http://schemas.microsoft.com/office/excel/2006/main">
          <x14:cfRule type="dataBar" id="{ADF193CC-6239-47BB-A9D8-B803A736745B}">
            <x14:dataBar minLength="0" maxLength="100" gradient="0">
              <x14:cfvo type="autoMin"/>
              <x14:cfvo type="autoMax"/>
              <x14:negativeFillColor rgb="FFFF0000"/>
              <x14:axisColor rgb="FF000000"/>
            </x14:dataBar>
          </x14:cfRule>
          <xm:sqref>I2:K6</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288"/>
  <sheetViews>
    <sheetView topLeftCell="A1261" workbookViewId="0">
      <selection activeCell="L1273" sqref="L1273"/>
    </sheetView>
  </sheetViews>
  <sheetFormatPr defaultRowHeight="15" x14ac:dyDescent="0.25"/>
  <cols>
    <col min="1" max="1" width="9" bestFit="1" customWidth="1"/>
    <col min="2" max="2" width="11.28515625" bestFit="1" customWidth="1"/>
    <col min="3" max="3" width="16" bestFit="1" customWidth="1"/>
    <col min="4" max="4" width="10.5703125" bestFit="1" customWidth="1"/>
    <col min="5" max="5" width="7.140625" bestFit="1" customWidth="1"/>
    <col min="6" max="6" width="16.85546875" bestFit="1" customWidth="1"/>
    <col min="7" max="7" width="14.28515625" bestFit="1" customWidth="1"/>
    <col min="8" max="8" width="10" bestFit="1" customWidth="1"/>
    <col min="9" max="9" width="10.42578125" bestFit="1" customWidth="1"/>
    <col min="10" max="10" width="10.140625" bestFit="1" customWidth="1"/>
    <col min="11" max="11" width="11" bestFit="1" customWidth="1"/>
    <col min="12" max="12" width="17" bestFit="1" customWidth="1"/>
    <col min="13" max="13" width="11.28515625" bestFit="1" customWidth="1"/>
    <col min="14" max="14" width="9" bestFit="1" customWidth="1"/>
  </cols>
  <sheetData>
    <row r="1" spans="1:14" x14ac:dyDescent="0.25">
      <c r="A1" s="3" t="s">
        <v>199</v>
      </c>
      <c r="B1" s="3" t="s">
        <v>200</v>
      </c>
      <c r="C1" s="3" t="s">
        <v>201</v>
      </c>
      <c r="D1" s="3" t="s">
        <v>202</v>
      </c>
      <c r="E1" s="3" t="s">
        <v>118</v>
      </c>
      <c r="F1" s="3" t="s">
        <v>203</v>
      </c>
      <c r="G1" s="3" t="s">
        <v>204</v>
      </c>
      <c r="H1" s="3" t="s">
        <v>205</v>
      </c>
      <c r="I1" s="3" t="s">
        <v>206</v>
      </c>
      <c r="J1" s="3" t="s">
        <v>207</v>
      </c>
      <c r="K1" s="3" t="s">
        <v>208</v>
      </c>
      <c r="L1" s="3" t="s">
        <v>209</v>
      </c>
      <c r="M1" s="3" t="s">
        <v>210</v>
      </c>
      <c r="N1" s="3" t="s">
        <v>211</v>
      </c>
    </row>
    <row r="2" spans="1:14" x14ac:dyDescent="0.25">
      <c r="A2" s="1">
        <v>1001</v>
      </c>
      <c r="B2" s="1" t="s">
        <v>212</v>
      </c>
      <c r="C2" s="1" t="s">
        <v>213</v>
      </c>
      <c r="D2" s="1" t="s">
        <v>214</v>
      </c>
      <c r="E2" s="1" t="s">
        <v>124</v>
      </c>
      <c r="F2" s="1" t="s">
        <v>215</v>
      </c>
      <c r="G2" s="1" t="s">
        <v>216</v>
      </c>
      <c r="H2" s="1" t="s">
        <v>217</v>
      </c>
      <c r="I2" s="1">
        <v>4</v>
      </c>
      <c r="J2" s="1">
        <v>20401</v>
      </c>
      <c r="K2" s="1">
        <v>73443.600000000006</v>
      </c>
      <c r="L2" s="1" t="s">
        <v>218</v>
      </c>
      <c r="M2" s="1">
        <v>10</v>
      </c>
      <c r="N2" s="1">
        <v>21019.15</v>
      </c>
    </row>
    <row r="3" spans="1:14" x14ac:dyDescent="0.25">
      <c r="A3" s="1">
        <v>1002</v>
      </c>
      <c r="B3" s="1" t="s">
        <v>212</v>
      </c>
      <c r="C3" s="1" t="s">
        <v>219</v>
      </c>
      <c r="D3" s="1" t="s">
        <v>220</v>
      </c>
      <c r="E3" s="1" t="s">
        <v>85</v>
      </c>
      <c r="F3" s="1" t="s">
        <v>215</v>
      </c>
      <c r="G3" s="1" t="s">
        <v>216</v>
      </c>
      <c r="H3" s="1" t="s">
        <v>221</v>
      </c>
      <c r="I3" s="1">
        <v>4</v>
      </c>
      <c r="J3" s="1">
        <v>17480</v>
      </c>
      <c r="K3" s="1">
        <v>66424</v>
      </c>
      <c r="L3" s="1" t="s">
        <v>222</v>
      </c>
      <c r="M3" s="1">
        <v>5</v>
      </c>
      <c r="N3" s="1">
        <v>15368.62</v>
      </c>
    </row>
    <row r="4" spans="1:14" x14ac:dyDescent="0.25">
      <c r="A4" s="1">
        <v>1003</v>
      </c>
      <c r="B4" s="1" t="s">
        <v>212</v>
      </c>
      <c r="C4" s="1" t="s">
        <v>223</v>
      </c>
      <c r="D4" s="1" t="s">
        <v>224</v>
      </c>
      <c r="E4" s="1" t="s">
        <v>124</v>
      </c>
      <c r="F4" s="1" t="s">
        <v>225</v>
      </c>
      <c r="G4" s="1" t="s">
        <v>226</v>
      </c>
      <c r="H4" s="1" t="s">
        <v>128</v>
      </c>
      <c r="I4" s="1">
        <v>1</v>
      </c>
      <c r="J4" s="1">
        <v>20603</v>
      </c>
      <c r="K4" s="1">
        <v>18542.7</v>
      </c>
      <c r="L4" s="1" t="s">
        <v>227</v>
      </c>
      <c r="M4" s="1">
        <v>10</v>
      </c>
      <c r="N4" s="1">
        <v>3595.24</v>
      </c>
    </row>
    <row r="5" spans="1:14" x14ac:dyDescent="0.25">
      <c r="A5" s="1">
        <v>1004</v>
      </c>
      <c r="B5" s="1" t="s">
        <v>228</v>
      </c>
      <c r="C5" s="1" t="s">
        <v>229</v>
      </c>
      <c r="D5" s="1" t="s">
        <v>214</v>
      </c>
      <c r="E5" s="1" t="s">
        <v>124</v>
      </c>
      <c r="F5" s="1" t="s">
        <v>230</v>
      </c>
      <c r="G5" s="1" t="s">
        <v>231</v>
      </c>
      <c r="H5" s="1" t="s">
        <v>128</v>
      </c>
      <c r="I5" s="1">
        <v>2</v>
      </c>
      <c r="J5" s="1">
        <v>35787</v>
      </c>
      <c r="K5" s="1">
        <v>71574</v>
      </c>
      <c r="L5" s="1" t="s">
        <v>227</v>
      </c>
      <c r="M5" s="1">
        <v>0</v>
      </c>
      <c r="N5" s="1">
        <v>10999.85</v>
      </c>
    </row>
    <row r="6" spans="1:14" x14ac:dyDescent="0.25">
      <c r="A6" s="1">
        <v>1005</v>
      </c>
      <c r="B6" s="1" t="s">
        <v>228</v>
      </c>
      <c r="C6" s="1" t="s">
        <v>219</v>
      </c>
      <c r="D6" s="1" t="s">
        <v>232</v>
      </c>
      <c r="E6" s="1" t="s">
        <v>233</v>
      </c>
      <c r="F6" s="1" t="s">
        <v>225</v>
      </c>
      <c r="G6" s="1" t="s">
        <v>226</v>
      </c>
      <c r="H6" s="1" t="s">
        <v>234</v>
      </c>
      <c r="I6" s="1">
        <v>5</v>
      </c>
      <c r="J6" s="1">
        <v>41396</v>
      </c>
      <c r="K6" s="1">
        <v>206980</v>
      </c>
      <c r="L6" s="1" t="s">
        <v>222</v>
      </c>
      <c r="M6" s="1">
        <v>0</v>
      </c>
      <c r="N6" s="1">
        <v>34168.81</v>
      </c>
    </row>
    <row r="7" spans="1:14" x14ac:dyDescent="0.25">
      <c r="A7" s="1">
        <v>1006</v>
      </c>
      <c r="B7" s="1" t="s">
        <v>235</v>
      </c>
      <c r="C7" s="1" t="s">
        <v>229</v>
      </c>
      <c r="D7" s="1" t="s">
        <v>214</v>
      </c>
      <c r="E7" s="1" t="s">
        <v>124</v>
      </c>
      <c r="F7" s="1" t="s">
        <v>225</v>
      </c>
      <c r="G7" s="1" t="s">
        <v>236</v>
      </c>
      <c r="H7" s="1" t="s">
        <v>221</v>
      </c>
      <c r="I7" s="1">
        <v>5</v>
      </c>
      <c r="J7" s="1">
        <v>31592</v>
      </c>
      <c r="K7" s="1">
        <v>157960</v>
      </c>
      <c r="L7" s="1" t="s">
        <v>227</v>
      </c>
      <c r="M7" s="1">
        <v>0</v>
      </c>
      <c r="N7" s="1">
        <v>21390.53</v>
      </c>
    </row>
    <row r="8" spans="1:14" x14ac:dyDescent="0.25">
      <c r="A8" s="1">
        <v>1007</v>
      </c>
      <c r="B8" s="1" t="s">
        <v>235</v>
      </c>
      <c r="C8" s="1" t="s">
        <v>237</v>
      </c>
      <c r="D8" s="1" t="s">
        <v>224</v>
      </c>
      <c r="E8" s="1" t="s">
        <v>233</v>
      </c>
      <c r="F8" s="1" t="s">
        <v>215</v>
      </c>
      <c r="G8" s="1" t="s">
        <v>216</v>
      </c>
      <c r="H8" s="1" t="s">
        <v>128</v>
      </c>
      <c r="I8" s="1">
        <v>3</v>
      </c>
      <c r="J8" s="1">
        <v>37915</v>
      </c>
      <c r="K8" s="1">
        <v>113745</v>
      </c>
      <c r="L8" s="1" t="s">
        <v>222</v>
      </c>
      <c r="M8" s="1">
        <v>0</v>
      </c>
      <c r="N8" s="1">
        <v>30022.959999999999</v>
      </c>
    </row>
    <row r="9" spans="1:14" x14ac:dyDescent="0.25">
      <c r="A9" s="1">
        <v>1008</v>
      </c>
      <c r="B9" s="1" t="s">
        <v>238</v>
      </c>
      <c r="C9" s="1" t="s">
        <v>239</v>
      </c>
      <c r="D9" s="1" t="s">
        <v>232</v>
      </c>
      <c r="E9" s="1" t="s">
        <v>233</v>
      </c>
      <c r="F9" s="1" t="s">
        <v>215</v>
      </c>
      <c r="G9" s="1" t="s">
        <v>216</v>
      </c>
      <c r="H9" s="1" t="s">
        <v>128</v>
      </c>
      <c r="I9" s="1">
        <v>1</v>
      </c>
      <c r="J9" s="1">
        <v>38859</v>
      </c>
      <c r="K9" s="1">
        <v>36916.050000000003</v>
      </c>
      <c r="L9" s="1" t="s">
        <v>240</v>
      </c>
      <c r="M9" s="1">
        <v>5</v>
      </c>
      <c r="N9" s="1">
        <v>6036.85</v>
      </c>
    </row>
    <row r="10" spans="1:14" x14ac:dyDescent="0.25">
      <c r="A10" s="1">
        <v>1009</v>
      </c>
      <c r="B10" s="1" t="s">
        <v>238</v>
      </c>
      <c r="C10" s="1" t="s">
        <v>223</v>
      </c>
      <c r="D10" s="1" t="s">
        <v>232</v>
      </c>
      <c r="E10" s="1" t="s">
        <v>233</v>
      </c>
      <c r="F10" s="1" t="s">
        <v>230</v>
      </c>
      <c r="G10" s="1" t="s">
        <v>241</v>
      </c>
      <c r="H10" s="1" t="s">
        <v>217</v>
      </c>
      <c r="I10" s="1">
        <v>3</v>
      </c>
      <c r="J10" s="1">
        <v>26304</v>
      </c>
      <c r="K10" s="1">
        <v>71020.800000000003</v>
      </c>
      <c r="L10" s="1" t="s">
        <v>240</v>
      </c>
      <c r="M10" s="1">
        <v>10</v>
      </c>
      <c r="N10" s="1">
        <v>8473.11</v>
      </c>
    </row>
    <row r="11" spans="1:14" x14ac:dyDescent="0.25">
      <c r="A11" s="1">
        <v>1010</v>
      </c>
      <c r="B11" s="1" t="s">
        <v>238</v>
      </c>
      <c r="C11" s="1" t="s">
        <v>219</v>
      </c>
      <c r="D11" s="1" t="s">
        <v>232</v>
      </c>
      <c r="E11" s="1" t="s">
        <v>233</v>
      </c>
      <c r="F11" s="1" t="s">
        <v>230</v>
      </c>
      <c r="G11" s="1" t="s">
        <v>242</v>
      </c>
      <c r="H11" s="1" t="s">
        <v>128</v>
      </c>
      <c r="I11" s="1">
        <v>5</v>
      </c>
      <c r="J11" s="1">
        <v>15994</v>
      </c>
      <c r="K11" s="1">
        <v>67974.5</v>
      </c>
      <c r="L11" s="1" t="s">
        <v>227</v>
      </c>
      <c r="M11" s="1">
        <v>15</v>
      </c>
      <c r="N11" s="1">
        <v>12850.43</v>
      </c>
    </row>
    <row r="12" spans="1:14" x14ac:dyDescent="0.25">
      <c r="A12" s="1">
        <v>1011</v>
      </c>
      <c r="B12" s="1" t="s">
        <v>243</v>
      </c>
      <c r="C12" s="1" t="s">
        <v>213</v>
      </c>
      <c r="D12" s="1" t="s">
        <v>232</v>
      </c>
      <c r="E12" s="1" t="s">
        <v>233</v>
      </c>
      <c r="F12" s="1" t="s">
        <v>215</v>
      </c>
      <c r="G12" s="1" t="s">
        <v>216</v>
      </c>
      <c r="H12" s="1" t="s">
        <v>221</v>
      </c>
      <c r="I12" s="1">
        <v>3</v>
      </c>
      <c r="J12" s="1">
        <v>20557</v>
      </c>
      <c r="K12" s="1">
        <v>58587.45</v>
      </c>
      <c r="L12" s="1" t="s">
        <v>227</v>
      </c>
      <c r="M12" s="1">
        <v>5</v>
      </c>
      <c r="N12" s="1">
        <v>6595.92</v>
      </c>
    </row>
    <row r="13" spans="1:14" x14ac:dyDescent="0.25">
      <c r="A13" s="1">
        <v>1012</v>
      </c>
      <c r="B13" s="1" t="s">
        <v>243</v>
      </c>
      <c r="C13" s="1" t="s">
        <v>229</v>
      </c>
      <c r="D13" s="1" t="s">
        <v>214</v>
      </c>
      <c r="E13" s="1" t="s">
        <v>124</v>
      </c>
      <c r="F13" s="1" t="s">
        <v>215</v>
      </c>
      <c r="G13" s="1" t="s">
        <v>244</v>
      </c>
      <c r="H13" s="1" t="s">
        <v>221</v>
      </c>
      <c r="I13" s="1">
        <v>1</v>
      </c>
      <c r="J13" s="1">
        <v>1926</v>
      </c>
      <c r="K13" s="1">
        <v>1829.7</v>
      </c>
      <c r="L13" s="1" t="s">
        <v>218</v>
      </c>
      <c r="M13" s="1">
        <v>5</v>
      </c>
      <c r="N13" s="1">
        <v>199.21</v>
      </c>
    </row>
    <row r="14" spans="1:14" x14ac:dyDescent="0.25">
      <c r="A14" s="1">
        <v>1013</v>
      </c>
      <c r="B14" s="1" t="s">
        <v>243</v>
      </c>
      <c r="C14" s="1" t="s">
        <v>213</v>
      </c>
      <c r="D14" s="1" t="s">
        <v>245</v>
      </c>
      <c r="E14" s="1" t="s">
        <v>124</v>
      </c>
      <c r="F14" s="1" t="s">
        <v>215</v>
      </c>
      <c r="G14" s="1" t="s">
        <v>246</v>
      </c>
      <c r="H14" s="1" t="s">
        <v>234</v>
      </c>
      <c r="I14" s="1">
        <v>4</v>
      </c>
      <c r="J14" s="1">
        <v>21124</v>
      </c>
      <c r="K14" s="1">
        <v>80271.199999999997</v>
      </c>
      <c r="L14" s="1" t="s">
        <v>222</v>
      </c>
      <c r="M14" s="1">
        <v>5</v>
      </c>
      <c r="N14" s="1">
        <v>15340.73</v>
      </c>
    </row>
    <row r="15" spans="1:14" x14ac:dyDescent="0.25">
      <c r="A15" s="1">
        <v>1014</v>
      </c>
      <c r="B15" s="1" t="s">
        <v>243</v>
      </c>
      <c r="C15" s="1" t="s">
        <v>239</v>
      </c>
      <c r="D15" s="1" t="s">
        <v>232</v>
      </c>
      <c r="E15" s="1" t="s">
        <v>233</v>
      </c>
      <c r="F15" s="1" t="s">
        <v>225</v>
      </c>
      <c r="G15" s="1" t="s">
        <v>226</v>
      </c>
      <c r="H15" s="1" t="s">
        <v>217</v>
      </c>
      <c r="I15" s="1">
        <v>4</v>
      </c>
      <c r="J15" s="1">
        <v>35983</v>
      </c>
      <c r="K15" s="1">
        <v>129538.8</v>
      </c>
      <c r="L15" s="1" t="s">
        <v>218</v>
      </c>
      <c r="M15" s="1">
        <v>10</v>
      </c>
      <c r="N15" s="1">
        <v>21019.95</v>
      </c>
    </row>
    <row r="16" spans="1:14" x14ac:dyDescent="0.25">
      <c r="A16" s="1">
        <v>1015</v>
      </c>
      <c r="B16" s="1" t="s">
        <v>247</v>
      </c>
      <c r="C16" s="1" t="s">
        <v>229</v>
      </c>
      <c r="D16" s="1" t="s">
        <v>232</v>
      </c>
      <c r="E16" s="1" t="s">
        <v>233</v>
      </c>
      <c r="F16" s="1" t="s">
        <v>215</v>
      </c>
      <c r="G16" s="1" t="s">
        <v>216</v>
      </c>
      <c r="H16" s="1" t="s">
        <v>221</v>
      </c>
      <c r="I16" s="1">
        <v>2</v>
      </c>
      <c r="J16" s="1">
        <v>41417</v>
      </c>
      <c r="K16" s="1">
        <v>82834</v>
      </c>
      <c r="L16" s="1" t="s">
        <v>218</v>
      </c>
      <c r="M16" s="1">
        <v>0</v>
      </c>
      <c r="N16" s="1">
        <v>13758.71</v>
      </c>
    </row>
    <row r="17" spans="1:14" x14ac:dyDescent="0.25">
      <c r="A17" s="1">
        <v>1016</v>
      </c>
      <c r="B17" s="1" t="s">
        <v>247</v>
      </c>
      <c r="C17" s="1" t="s">
        <v>223</v>
      </c>
      <c r="D17" s="1" t="s">
        <v>224</v>
      </c>
      <c r="E17" s="1" t="s">
        <v>233</v>
      </c>
      <c r="F17" s="1" t="s">
        <v>225</v>
      </c>
      <c r="G17" s="1" t="s">
        <v>248</v>
      </c>
      <c r="H17" s="1" t="s">
        <v>128</v>
      </c>
      <c r="I17" s="1">
        <v>1</v>
      </c>
      <c r="J17" s="1">
        <v>12194</v>
      </c>
      <c r="K17" s="1">
        <v>12194</v>
      </c>
      <c r="L17" s="1" t="s">
        <v>240</v>
      </c>
      <c r="M17" s="1">
        <v>0</v>
      </c>
      <c r="N17" s="1">
        <v>2550.4699999999998</v>
      </c>
    </row>
    <row r="18" spans="1:14" x14ac:dyDescent="0.25">
      <c r="A18" s="1">
        <v>1017</v>
      </c>
      <c r="B18" s="1" t="s">
        <v>247</v>
      </c>
      <c r="C18" s="1" t="s">
        <v>239</v>
      </c>
      <c r="D18" s="1" t="s">
        <v>220</v>
      </c>
      <c r="E18" s="1" t="s">
        <v>85</v>
      </c>
      <c r="F18" s="1" t="s">
        <v>230</v>
      </c>
      <c r="G18" s="1" t="s">
        <v>241</v>
      </c>
      <c r="H18" s="1" t="s">
        <v>217</v>
      </c>
      <c r="I18" s="1">
        <v>5</v>
      </c>
      <c r="J18" s="1">
        <v>31519</v>
      </c>
      <c r="K18" s="1">
        <v>141835.5</v>
      </c>
      <c r="L18" s="1" t="s">
        <v>218</v>
      </c>
      <c r="M18" s="1">
        <v>10</v>
      </c>
      <c r="N18" s="1">
        <v>21722.95</v>
      </c>
    </row>
    <row r="19" spans="1:14" x14ac:dyDescent="0.25">
      <c r="A19" s="1">
        <v>1018</v>
      </c>
      <c r="B19" s="1" t="s">
        <v>247</v>
      </c>
      <c r="C19" s="1" t="s">
        <v>219</v>
      </c>
      <c r="D19" s="1" t="s">
        <v>220</v>
      </c>
      <c r="E19" s="1" t="s">
        <v>85</v>
      </c>
      <c r="F19" s="1" t="s">
        <v>225</v>
      </c>
      <c r="G19" s="1" t="s">
        <v>248</v>
      </c>
      <c r="H19" s="1" t="s">
        <v>128</v>
      </c>
      <c r="I19" s="1">
        <v>5</v>
      </c>
      <c r="J19" s="1">
        <v>8468</v>
      </c>
      <c r="K19" s="1">
        <v>42340</v>
      </c>
      <c r="L19" s="1" t="s">
        <v>222</v>
      </c>
      <c r="M19" s="1">
        <v>0</v>
      </c>
      <c r="N19" s="1">
        <v>5531.83</v>
      </c>
    </row>
    <row r="20" spans="1:14" x14ac:dyDescent="0.25">
      <c r="A20" s="1">
        <v>1019</v>
      </c>
      <c r="B20" s="1" t="s">
        <v>247</v>
      </c>
      <c r="C20" s="1" t="s">
        <v>213</v>
      </c>
      <c r="D20" s="1" t="s">
        <v>214</v>
      </c>
      <c r="E20" s="1" t="s">
        <v>124</v>
      </c>
      <c r="F20" s="1" t="s">
        <v>225</v>
      </c>
      <c r="G20" s="1" t="s">
        <v>226</v>
      </c>
      <c r="H20" s="1" t="s">
        <v>128</v>
      </c>
      <c r="I20" s="1">
        <v>2</v>
      </c>
      <c r="J20" s="1">
        <v>4252</v>
      </c>
      <c r="K20" s="1">
        <v>8504</v>
      </c>
      <c r="L20" s="1" t="s">
        <v>218</v>
      </c>
      <c r="M20" s="1">
        <v>0</v>
      </c>
      <c r="N20" s="1">
        <v>1015.88</v>
      </c>
    </row>
    <row r="21" spans="1:14" x14ac:dyDescent="0.25">
      <c r="A21" s="1">
        <v>1020</v>
      </c>
      <c r="B21" s="1" t="s">
        <v>249</v>
      </c>
      <c r="C21" s="1" t="s">
        <v>239</v>
      </c>
      <c r="D21" s="1" t="s">
        <v>232</v>
      </c>
      <c r="E21" s="1" t="s">
        <v>233</v>
      </c>
      <c r="F21" s="1" t="s">
        <v>225</v>
      </c>
      <c r="G21" s="1" t="s">
        <v>226</v>
      </c>
      <c r="H21" s="1" t="s">
        <v>234</v>
      </c>
      <c r="I21" s="1">
        <v>3</v>
      </c>
      <c r="J21" s="1">
        <v>7401</v>
      </c>
      <c r="K21" s="1">
        <v>21092.85</v>
      </c>
      <c r="L21" s="1" t="s">
        <v>240</v>
      </c>
      <c r="M21" s="1">
        <v>5</v>
      </c>
      <c r="N21" s="1">
        <v>3948.81</v>
      </c>
    </row>
    <row r="22" spans="1:14" x14ac:dyDescent="0.25">
      <c r="A22" s="1">
        <v>1021</v>
      </c>
      <c r="B22" s="1" t="s">
        <v>249</v>
      </c>
      <c r="C22" s="1" t="s">
        <v>213</v>
      </c>
      <c r="D22" s="1" t="s">
        <v>232</v>
      </c>
      <c r="E22" s="1" t="s">
        <v>233</v>
      </c>
      <c r="F22" s="1" t="s">
        <v>225</v>
      </c>
      <c r="G22" s="1" t="s">
        <v>226</v>
      </c>
      <c r="H22" s="1" t="s">
        <v>128</v>
      </c>
      <c r="I22" s="1">
        <v>5</v>
      </c>
      <c r="J22" s="1">
        <v>27235</v>
      </c>
      <c r="K22" s="1">
        <v>122557.5</v>
      </c>
      <c r="L22" s="1" t="s">
        <v>227</v>
      </c>
      <c r="M22" s="1">
        <v>10</v>
      </c>
      <c r="N22" s="1">
        <v>22166.05</v>
      </c>
    </row>
    <row r="23" spans="1:14" x14ac:dyDescent="0.25">
      <c r="A23" s="1">
        <v>1022</v>
      </c>
      <c r="B23" s="1" t="s">
        <v>249</v>
      </c>
      <c r="C23" s="1" t="s">
        <v>219</v>
      </c>
      <c r="D23" s="1" t="s">
        <v>214</v>
      </c>
      <c r="E23" s="1" t="s">
        <v>124</v>
      </c>
      <c r="F23" s="1" t="s">
        <v>230</v>
      </c>
      <c r="G23" s="1" t="s">
        <v>242</v>
      </c>
      <c r="H23" s="1" t="s">
        <v>221</v>
      </c>
      <c r="I23" s="1">
        <v>3</v>
      </c>
      <c r="J23" s="1">
        <v>29600</v>
      </c>
      <c r="K23" s="1">
        <v>84360</v>
      </c>
      <c r="L23" s="1" t="s">
        <v>227</v>
      </c>
      <c r="M23" s="1">
        <v>5</v>
      </c>
      <c r="N23" s="1">
        <v>18150.330000000002</v>
      </c>
    </row>
    <row r="24" spans="1:14" x14ac:dyDescent="0.25">
      <c r="A24" s="1">
        <v>1023</v>
      </c>
      <c r="B24" s="1" t="s">
        <v>250</v>
      </c>
      <c r="C24" s="1" t="s">
        <v>223</v>
      </c>
      <c r="D24" s="1" t="s">
        <v>224</v>
      </c>
      <c r="E24" s="1" t="s">
        <v>233</v>
      </c>
      <c r="F24" s="1" t="s">
        <v>225</v>
      </c>
      <c r="G24" s="1" t="s">
        <v>226</v>
      </c>
      <c r="H24" s="1" t="s">
        <v>217</v>
      </c>
      <c r="I24" s="1">
        <v>4</v>
      </c>
      <c r="J24" s="1">
        <v>3674</v>
      </c>
      <c r="K24" s="1">
        <v>12491.6</v>
      </c>
      <c r="L24" s="1" t="s">
        <v>218</v>
      </c>
      <c r="M24" s="1">
        <v>15</v>
      </c>
      <c r="N24" s="1">
        <v>2919.66</v>
      </c>
    </row>
    <row r="25" spans="1:14" x14ac:dyDescent="0.25">
      <c r="A25" s="1">
        <v>1024</v>
      </c>
      <c r="B25" s="1" t="s">
        <v>250</v>
      </c>
      <c r="C25" s="1" t="s">
        <v>213</v>
      </c>
      <c r="D25" s="1" t="s">
        <v>214</v>
      </c>
      <c r="E25" s="1" t="s">
        <v>124</v>
      </c>
      <c r="F25" s="1" t="s">
        <v>215</v>
      </c>
      <c r="G25" s="1" t="s">
        <v>216</v>
      </c>
      <c r="H25" s="1" t="s">
        <v>221</v>
      </c>
      <c r="I25" s="1">
        <v>1</v>
      </c>
      <c r="J25" s="1">
        <v>43622</v>
      </c>
      <c r="K25" s="1">
        <v>41440.9</v>
      </c>
      <c r="L25" s="1" t="s">
        <v>227</v>
      </c>
      <c r="M25" s="1">
        <v>5</v>
      </c>
      <c r="N25" s="1">
        <v>4574.51</v>
      </c>
    </row>
    <row r="26" spans="1:14" x14ac:dyDescent="0.25">
      <c r="A26" s="1">
        <v>1025</v>
      </c>
      <c r="B26" s="1" t="s">
        <v>250</v>
      </c>
      <c r="C26" s="1" t="s">
        <v>229</v>
      </c>
      <c r="D26" s="1" t="s">
        <v>232</v>
      </c>
      <c r="E26" s="1" t="s">
        <v>233</v>
      </c>
      <c r="F26" s="1" t="s">
        <v>230</v>
      </c>
      <c r="G26" s="1" t="s">
        <v>231</v>
      </c>
      <c r="H26" s="1" t="s">
        <v>128</v>
      </c>
      <c r="I26" s="1">
        <v>4</v>
      </c>
      <c r="J26" s="1">
        <v>21019</v>
      </c>
      <c r="K26" s="1">
        <v>79872.2</v>
      </c>
      <c r="L26" s="1" t="s">
        <v>240</v>
      </c>
      <c r="M26" s="1">
        <v>5</v>
      </c>
      <c r="N26" s="1">
        <v>13347.19</v>
      </c>
    </row>
    <row r="27" spans="1:14" x14ac:dyDescent="0.25">
      <c r="A27" s="1">
        <v>1026</v>
      </c>
      <c r="B27" s="1" t="s">
        <v>251</v>
      </c>
      <c r="C27" s="1" t="s">
        <v>239</v>
      </c>
      <c r="D27" s="1" t="s">
        <v>245</v>
      </c>
      <c r="E27" s="1" t="s">
        <v>124</v>
      </c>
      <c r="F27" s="1" t="s">
        <v>215</v>
      </c>
      <c r="G27" s="1" t="s">
        <v>216</v>
      </c>
      <c r="H27" s="1" t="s">
        <v>217</v>
      </c>
      <c r="I27" s="1">
        <v>5</v>
      </c>
      <c r="J27" s="1">
        <v>5346</v>
      </c>
      <c r="K27" s="1">
        <v>22720.5</v>
      </c>
      <c r="L27" s="1" t="s">
        <v>218</v>
      </c>
      <c r="M27" s="1">
        <v>15</v>
      </c>
      <c r="N27" s="1">
        <v>2603.14</v>
      </c>
    </row>
    <row r="28" spans="1:14" x14ac:dyDescent="0.25">
      <c r="A28" s="1">
        <v>1027</v>
      </c>
      <c r="B28" s="1" t="s">
        <v>251</v>
      </c>
      <c r="C28" s="1" t="s">
        <v>223</v>
      </c>
      <c r="D28" s="1" t="s">
        <v>220</v>
      </c>
      <c r="E28" s="1" t="s">
        <v>85</v>
      </c>
      <c r="F28" s="1" t="s">
        <v>230</v>
      </c>
      <c r="G28" s="1" t="s">
        <v>242</v>
      </c>
      <c r="H28" s="1" t="s">
        <v>217</v>
      </c>
      <c r="I28" s="1">
        <v>1</v>
      </c>
      <c r="J28" s="1">
        <v>38705</v>
      </c>
      <c r="K28" s="1">
        <v>36769.75</v>
      </c>
      <c r="L28" s="1" t="s">
        <v>218</v>
      </c>
      <c r="M28" s="1">
        <v>5</v>
      </c>
      <c r="N28" s="1">
        <v>8869.92</v>
      </c>
    </row>
    <row r="29" spans="1:14" x14ac:dyDescent="0.25">
      <c r="A29" s="1">
        <v>1028</v>
      </c>
      <c r="B29" s="1" t="s">
        <v>251</v>
      </c>
      <c r="C29" s="1" t="s">
        <v>213</v>
      </c>
      <c r="D29" s="1" t="s">
        <v>224</v>
      </c>
      <c r="E29" s="1" t="s">
        <v>233</v>
      </c>
      <c r="F29" s="1" t="s">
        <v>225</v>
      </c>
      <c r="G29" s="1" t="s">
        <v>248</v>
      </c>
      <c r="H29" s="1" t="s">
        <v>128</v>
      </c>
      <c r="I29" s="1">
        <v>5</v>
      </c>
      <c r="J29" s="1">
        <v>9311</v>
      </c>
      <c r="K29" s="1">
        <v>41899.5</v>
      </c>
      <c r="L29" s="1" t="s">
        <v>218</v>
      </c>
      <c r="M29" s="1">
        <v>10</v>
      </c>
      <c r="N29" s="1">
        <v>4666.68</v>
      </c>
    </row>
    <row r="30" spans="1:14" x14ac:dyDescent="0.25">
      <c r="A30" s="1">
        <v>1029</v>
      </c>
      <c r="B30" s="1" t="s">
        <v>251</v>
      </c>
      <c r="C30" s="1" t="s">
        <v>213</v>
      </c>
      <c r="D30" s="1" t="s">
        <v>232</v>
      </c>
      <c r="E30" s="1" t="s">
        <v>233</v>
      </c>
      <c r="F30" s="1" t="s">
        <v>225</v>
      </c>
      <c r="G30" s="1" t="s">
        <v>226</v>
      </c>
      <c r="H30" s="1" t="s">
        <v>128</v>
      </c>
      <c r="I30" s="1">
        <v>2</v>
      </c>
      <c r="J30" s="1">
        <v>30398</v>
      </c>
      <c r="K30" s="1">
        <v>54716.4</v>
      </c>
      <c r="L30" s="1" t="s">
        <v>222</v>
      </c>
      <c r="M30" s="1">
        <v>10</v>
      </c>
      <c r="N30" s="1">
        <v>12834.94</v>
      </c>
    </row>
    <row r="31" spans="1:14" x14ac:dyDescent="0.25">
      <c r="A31" s="1">
        <v>1030</v>
      </c>
      <c r="B31" s="1" t="s">
        <v>251</v>
      </c>
      <c r="C31" s="1" t="s">
        <v>219</v>
      </c>
      <c r="D31" s="1" t="s">
        <v>220</v>
      </c>
      <c r="E31" s="1" t="s">
        <v>85</v>
      </c>
      <c r="F31" s="1" t="s">
        <v>215</v>
      </c>
      <c r="G31" s="1" t="s">
        <v>246</v>
      </c>
      <c r="H31" s="1" t="s">
        <v>221</v>
      </c>
      <c r="I31" s="1">
        <v>3</v>
      </c>
      <c r="J31" s="1">
        <v>48575</v>
      </c>
      <c r="K31" s="1">
        <v>131152.5</v>
      </c>
      <c r="L31" s="1" t="s">
        <v>218</v>
      </c>
      <c r="M31" s="1">
        <v>10</v>
      </c>
      <c r="N31" s="1">
        <v>13842.6</v>
      </c>
    </row>
    <row r="32" spans="1:14" x14ac:dyDescent="0.25">
      <c r="A32" s="1">
        <v>1031</v>
      </c>
      <c r="B32" s="1" t="s">
        <v>252</v>
      </c>
      <c r="C32" s="1" t="s">
        <v>239</v>
      </c>
      <c r="D32" s="1" t="s">
        <v>232</v>
      </c>
      <c r="E32" s="1" t="s">
        <v>233</v>
      </c>
      <c r="F32" s="1" t="s">
        <v>215</v>
      </c>
      <c r="G32" s="1" t="s">
        <v>246</v>
      </c>
      <c r="H32" s="1" t="s">
        <v>221</v>
      </c>
      <c r="I32" s="1">
        <v>1</v>
      </c>
      <c r="J32" s="1">
        <v>14666</v>
      </c>
      <c r="K32" s="1">
        <v>14666</v>
      </c>
      <c r="L32" s="1" t="s">
        <v>222</v>
      </c>
      <c r="M32" s="1">
        <v>0</v>
      </c>
      <c r="N32" s="1">
        <v>2772.92</v>
      </c>
    </row>
    <row r="33" spans="1:14" x14ac:dyDescent="0.25">
      <c r="A33" s="1">
        <v>1032</v>
      </c>
      <c r="B33" s="1" t="s">
        <v>252</v>
      </c>
      <c r="C33" s="1" t="s">
        <v>219</v>
      </c>
      <c r="D33" s="1" t="s">
        <v>224</v>
      </c>
      <c r="E33" s="1" t="s">
        <v>233</v>
      </c>
      <c r="F33" s="1" t="s">
        <v>215</v>
      </c>
      <c r="G33" s="1" t="s">
        <v>246</v>
      </c>
      <c r="H33" s="1" t="s">
        <v>221</v>
      </c>
      <c r="I33" s="1">
        <v>4</v>
      </c>
      <c r="J33" s="1">
        <v>23433</v>
      </c>
      <c r="K33" s="1">
        <v>93732</v>
      </c>
      <c r="L33" s="1" t="s">
        <v>218</v>
      </c>
      <c r="M33" s="1">
        <v>0</v>
      </c>
      <c r="N33" s="1">
        <v>26963.14</v>
      </c>
    </row>
    <row r="34" spans="1:14" x14ac:dyDescent="0.25">
      <c r="A34" s="1">
        <v>1033</v>
      </c>
      <c r="B34" s="1" t="s">
        <v>252</v>
      </c>
      <c r="C34" s="1" t="s">
        <v>219</v>
      </c>
      <c r="D34" s="1" t="s">
        <v>214</v>
      </c>
      <c r="E34" s="1" t="s">
        <v>124</v>
      </c>
      <c r="F34" s="1" t="s">
        <v>230</v>
      </c>
      <c r="G34" s="1" t="s">
        <v>242</v>
      </c>
      <c r="H34" s="1" t="s">
        <v>234</v>
      </c>
      <c r="I34" s="1">
        <v>4</v>
      </c>
      <c r="J34" s="1">
        <v>38131</v>
      </c>
      <c r="K34" s="1">
        <v>137271.6</v>
      </c>
      <c r="L34" s="1" t="s">
        <v>218</v>
      </c>
      <c r="M34" s="1">
        <v>10</v>
      </c>
      <c r="N34" s="1">
        <v>33440.870000000003</v>
      </c>
    </row>
    <row r="35" spans="1:14" x14ac:dyDescent="0.25">
      <c r="A35" s="1">
        <v>1034</v>
      </c>
      <c r="B35" s="1" t="s">
        <v>252</v>
      </c>
      <c r="C35" s="1" t="s">
        <v>229</v>
      </c>
      <c r="D35" s="1" t="s">
        <v>232</v>
      </c>
      <c r="E35" s="1" t="s">
        <v>233</v>
      </c>
      <c r="F35" s="1" t="s">
        <v>230</v>
      </c>
      <c r="G35" s="1" t="s">
        <v>241</v>
      </c>
      <c r="H35" s="1" t="s">
        <v>221</v>
      </c>
      <c r="I35" s="1">
        <v>3</v>
      </c>
      <c r="J35" s="1">
        <v>5046</v>
      </c>
      <c r="K35" s="1">
        <v>15138</v>
      </c>
      <c r="L35" s="1" t="s">
        <v>222</v>
      </c>
      <c r="M35" s="1">
        <v>0</v>
      </c>
      <c r="N35" s="1">
        <v>2248.4699999999998</v>
      </c>
    </row>
    <row r="36" spans="1:14" x14ac:dyDescent="0.25">
      <c r="A36" s="1">
        <v>1035</v>
      </c>
      <c r="B36" s="1" t="s">
        <v>253</v>
      </c>
      <c r="C36" s="1" t="s">
        <v>223</v>
      </c>
      <c r="D36" s="1" t="s">
        <v>245</v>
      </c>
      <c r="E36" s="1" t="s">
        <v>124</v>
      </c>
      <c r="F36" s="1" t="s">
        <v>215</v>
      </c>
      <c r="G36" s="1" t="s">
        <v>246</v>
      </c>
      <c r="H36" s="1" t="s">
        <v>234</v>
      </c>
      <c r="I36" s="1">
        <v>2</v>
      </c>
      <c r="J36" s="1">
        <v>1061</v>
      </c>
      <c r="K36" s="1">
        <v>1803.7</v>
      </c>
      <c r="L36" s="1" t="s">
        <v>218</v>
      </c>
      <c r="M36" s="1">
        <v>15</v>
      </c>
      <c r="N36" s="1">
        <v>395.46</v>
      </c>
    </row>
    <row r="37" spans="1:14" x14ac:dyDescent="0.25">
      <c r="A37" s="1">
        <v>1036</v>
      </c>
      <c r="B37" s="1" t="s">
        <v>253</v>
      </c>
      <c r="C37" s="1" t="s">
        <v>239</v>
      </c>
      <c r="D37" s="1" t="s">
        <v>232</v>
      </c>
      <c r="E37" s="1" t="s">
        <v>233</v>
      </c>
      <c r="F37" s="1" t="s">
        <v>225</v>
      </c>
      <c r="G37" s="1" t="s">
        <v>236</v>
      </c>
      <c r="H37" s="1" t="s">
        <v>234</v>
      </c>
      <c r="I37" s="1">
        <v>2</v>
      </c>
      <c r="J37" s="1">
        <v>25849</v>
      </c>
      <c r="K37" s="1">
        <v>46528.2</v>
      </c>
      <c r="L37" s="1" t="s">
        <v>218</v>
      </c>
      <c r="M37" s="1">
        <v>10</v>
      </c>
      <c r="N37" s="1">
        <v>10762.31</v>
      </c>
    </row>
    <row r="38" spans="1:14" x14ac:dyDescent="0.25">
      <c r="A38" s="1">
        <v>1037</v>
      </c>
      <c r="B38" s="1" t="s">
        <v>253</v>
      </c>
      <c r="C38" s="1" t="s">
        <v>219</v>
      </c>
      <c r="D38" s="1" t="s">
        <v>232</v>
      </c>
      <c r="E38" s="1" t="s">
        <v>233</v>
      </c>
      <c r="F38" s="1" t="s">
        <v>225</v>
      </c>
      <c r="G38" s="1" t="s">
        <v>248</v>
      </c>
      <c r="H38" s="1" t="s">
        <v>221</v>
      </c>
      <c r="I38" s="1">
        <v>5</v>
      </c>
      <c r="J38" s="1">
        <v>48380</v>
      </c>
      <c r="K38" s="1">
        <v>205615</v>
      </c>
      <c r="L38" s="1" t="s">
        <v>218</v>
      </c>
      <c r="M38" s="1">
        <v>15</v>
      </c>
      <c r="N38" s="1">
        <v>34507.800000000003</v>
      </c>
    </row>
    <row r="39" spans="1:14" x14ac:dyDescent="0.25">
      <c r="A39" s="1">
        <v>1038</v>
      </c>
      <c r="B39" s="1" t="s">
        <v>254</v>
      </c>
      <c r="C39" s="1" t="s">
        <v>239</v>
      </c>
      <c r="D39" s="1" t="s">
        <v>232</v>
      </c>
      <c r="E39" s="1" t="s">
        <v>233</v>
      </c>
      <c r="F39" s="1" t="s">
        <v>225</v>
      </c>
      <c r="G39" s="1" t="s">
        <v>226</v>
      </c>
      <c r="H39" s="1" t="s">
        <v>128</v>
      </c>
      <c r="I39" s="1">
        <v>2</v>
      </c>
      <c r="J39" s="1">
        <v>15320</v>
      </c>
      <c r="K39" s="1">
        <v>29108</v>
      </c>
      <c r="L39" s="1" t="s">
        <v>240</v>
      </c>
      <c r="M39" s="1">
        <v>5</v>
      </c>
      <c r="N39" s="1">
        <v>6701.95</v>
      </c>
    </row>
    <row r="40" spans="1:14" x14ac:dyDescent="0.25">
      <c r="A40" s="1">
        <v>1039</v>
      </c>
      <c r="B40" s="1" t="s">
        <v>254</v>
      </c>
      <c r="C40" s="1" t="s">
        <v>213</v>
      </c>
      <c r="D40" s="1" t="s">
        <v>220</v>
      </c>
      <c r="E40" s="1" t="s">
        <v>85</v>
      </c>
      <c r="F40" s="1" t="s">
        <v>215</v>
      </c>
      <c r="G40" s="1" t="s">
        <v>244</v>
      </c>
      <c r="H40" s="1" t="s">
        <v>221</v>
      </c>
      <c r="I40" s="1">
        <v>5</v>
      </c>
      <c r="J40" s="1">
        <v>42266</v>
      </c>
      <c r="K40" s="1">
        <v>190197</v>
      </c>
      <c r="L40" s="1" t="s">
        <v>240</v>
      </c>
      <c r="M40" s="1">
        <v>10</v>
      </c>
      <c r="N40" s="1">
        <v>25035.77</v>
      </c>
    </row>
    <row r="41" spans="1:14" x14ac:dyDescent="0.25">
      <c r="A41" s="1">
        <v>1040</v>
      </c>
      <c r="B41" s="1" t="s">
        <v>254</v>
      </c>
      <c r="C41" s="1" t="s">
        <v>213</v>
      </c>
      <c r="D41" s="1" t="s">
        <v>245</v>
      </c>
      <c r="E41" s="1" t="s">
        <v>124</v>
      </c>
      <c r="F41" s="1" t="s">
        <v>215</v>
      </c>
      <c r="G41" s="1" t="s">
        <v>246</v>
      </c>
      <c r="H41" s="1" t="s">
        <v>128</v>
      </c>
      <c r="I41" s="1">
        <v>5</v>
      </c>
      <c r="J41" s="1">
        <v>27759</v>
      </c>
      <c r="K41" s="1">
        <v>124915.5</v>
      </c>
      <c r="L41" s="1" t="s">
        <v>222</v>
      </c>
      <c r="M41" s="1">
        <v>10</v>
      </c>
      <c r="N41" s="1">
        <v>27202.65</v>
      </c>
    </row>
    <row r="42" spans="1:14" x14ac:dyDescent="0.25">
      <c r="A42" s="1">
        <v>1041</v>
      </c>
      <c r="B42" s="1" t="s">
        <v>255</v>
      </c>
      <c r="C42" s="1" t="s">
        <v>239</v>
      </c>
      <c r="D42" s="1" t="s">
        <v>224</v>
      </c>
      <c r="E42" s="1" t="s">
        <v>233</v>
      </c>
      <c r="F42" s="1" t="s">
        <v>225</v>
      </c>
      <c r="G42" s="1" t="s">
        <v>236</v>
      </c>
      <c r="H42" s="1" t="s">
        <v>234</v>
      </c>
      <c r="I42" s="1">
        <v>2</v>
      </c>
      <c r="J42" s="1">
        <v>21530</v>
      </c>
      <c r="K42" s="1">
        <v>43060</v>
      </c>
      <c r="L42" s="1" t="s">
        <v>227</v>
      </c>
      <c r="M42" s="1">
        <v>0</v>
      </c>
      <c r="N42" s="1">
        <v>6782.52</v>
      </c>
    </row>
    <row r="43" spans="1:14" x14ac:dyDescent="0.25">
      <c r="A43" s="1">
        <v>1042</v>
      </c>
      <c r="B43" s="1" t="s">
        <v>255</v>
      </c>
      <c r="C43" s="1" t="s">
        <v>239</v>
      </c>
      <c r="D43" s="1" t="s">
        <v>224</v>
      </c>
      <c r="E43" s="1" t="s">
        <v>233</v>
      </c>
      <c r="F43" s="1" t="s">
        <v>225</v>
      </c>
      <c r="G43" s="1" t="s">
        <v>226</v>
      </c>
      <c r="H43" s="1" t="s">
        <v>128</v>
      </c>
      <c r="I43" s="1">
        <v>1</v>
      </c>
      <c r="J43" s="1">
        <v>30607</v>
      </c>
      <c r="K43" s="1">
        <v>29076.65</v>
      </c>
      <c r="L43" s="1" t="s">
        <v>222</v>
      </c>
      <c r="M43" s="1">
        <v>5</v>
      </c>
      <c r="N43" s="1">
        <v>5647.78</v>
      </c>
    </row>
    <row r="44" spans="1:14" x14ac:dyDescent="0.25">
      <c r="A44" s="1">
        <v>1043</v>
      </c>
      <c r="B44" s="1" t="s">
        <v>255</v>
      </c>
      <c r="C44" s="1" t="s">
        <v>229</v>
      </c>
      <c r="D44" s="1" t="s">
        <v>245</v>
      </c>
      <c r="E44" s="1" t="s">
        <v>124</v>
      </c>
      <c r="F44" s="1" t="s">
        <v>230</v>
      </c>
      <c r="G44" s="1" t="s">
        <v>231</v>
      </c>
      <c r="H44" s="1" t="s">
        <v>221</v>
      </c>
      <c r="I44" s="1">
        <v>2</v>
      </c>
      <c r="J44" s="1">
        <v>15968</v>
      </c>
      <c r="K44" s="1">
        <v>30339.200000000001</v>
      </c>
      <c r="L44" s="1" t="s">
        <v>218</v>
      </c>
      <c r="M44" s="1">
        <v>5</v>
      </c>
      <c r="N44" s="1">
        <v>5120.08</v>
      </c>
    </row>
    <row r="45" spans="1:14" x14ac:dyDescent="0.25">
      <c r="A45" s="1">
        <v>1044</v>
      </c>
      <c r="B45" s="1" t="s">
        <v>256</v>
      </c>
      <c r="C45" s="1" t="s">
        <v>219</v>
      </c>
      <c r="D45" s="1" t="s">
        <v>232</v>
      </c>
      <c r="E45" s="1" t="s">
        <v>233</v>
      </c>
      <c r="F45" s="1" t="s">
        <v>230</v>
      </c>
      <c r="G45" s="1" t="s">
        <v>231</v>
      </c>
      <c r="H45" s="1" t="s">
        <v>234</v>
      </c>
      <c r="I45" s="1">
        <v>4</v>
      </c>
      <c r="J45" s="1">
        <v>20887</v>
      </c>
      <c r="K45" s="1">
        <v>83548</v>
      </c>
      <c r="L45" s="1" t="s">
        <v>218</v>
      </c>
      <c r="M45" s="1">
        <v>0</v>
      </c>
      <c r="N45" s="1">
        <v>20356.38</v>
      </c>
    </row>
    <row r="46" spans="1:14" x14ac:dyDescent="0.25">
      <c r="A46" s="1">
        <v>1045</v>
      </c>
      <c r="B46" s="1" t="s">
        <v>256</v>
      </c>
      <c r="C46" s="1" t="s">
        <v>223</v>
      </c>
      <c r="D46" s="1" t="s">
        <v>214</v>
      </c>
      <c r="E46" s="1" t="s">
        <v>124</v>
      </c>
      <c r="F46" s="1" t="s">
        <v>225</v>
      </c>
      <c r="G46" s="1" t="s">
        <v>248</v>
      </c>
      <c r="H46" s="1" t="s">
        <v>128</v>
      </c>
      <c r="I46" s="1">
        <v>2</v>
      </c>
      <c r="J46" s="1">
        <v>4139</v>
      </c>
      <c r="K46" s="1">
        <v>7036.3</v>
      </c>
      <c r="L46" s="1" t="s">
        <v>222</v>
      </c>
      <c r="M46" s="1">
        <v>15</v>
      </c>
      <c r="N46" s="1">
        <v>762.79</v>
      </c>
    </row>
    <row r="47" spans="1:14" x14ac:dyDescent="0.25">
      <c r="A47" s="1">
        <v>1046</v>
      </c>
      <c r="B47" s="1" t="s">
        <v>256</v>
      </c>
      <c r="C47" s="1" t="s">
        <v>229</v>
      </c>
      <c r="D47" s="1" t="s">
        <v>224</v>
      </c>
      <c r="E47" s="1" t="s">
        <v>233</v>
      </c>
      <c r="F47" s="1" t="s">
        <v>230</v>
      </c>
      <c r="G47" s="1" t="s">
        <v>241</v>
      </c>
      <c r="H47" s="1" t="s">
        <v>128</v>
      </c>
      <c r="I47" s="1">
        <v>3</v>
      </c>
      <c r="J47" s="1">
        <v>44094</v>
      </c>
      <c r="K47" s="1">
        <v>119053.8</v>
      </c>
      <c r="L47" s="1" t="s">
        <v>240</v>
      </c>
      <c r="M47" s="1">
        <v>10</v>
      </c>
      <c r="N47" s="1">
        <v>24583.19</v>
      </c>
    </row>
    <row r="48" spans="1:14" x14ac:dyDescent="0.25">
      <c r="A48" s="1">
        <v>1047</v>
      </c>
      <c r="B48" s="1" t="s">
        <v>256</v>
      </c>
      <c r="C48" s="1" t="s">
        <v>229</v>
      </c>
      <c r="D48" s="1" t="s">
        <v>214</v>
      </c>
      <c r="E48" s="1" t="s">
        <v>124</v>
      </c>
      <c r="F48" s="1" t="s">
        <v>215</v>
      </c>
      <c r="G48" s="1" t="s">
        <v>246</v>
      </c>
      <c r="H48" s="1" t="s">
        <v>217</v>
      </c>
      <c r="I48" s="1">
        <v>5</v>
      </c>
      <c r="J48" s="1">
        <v>29009</v>
      </c>
      <c r="K48" s="1">
        <v>130540.5</v>
      </c>
      <c r="L48" s="1" t="s">
        <v>240</v>
      </c>
      <c r="M48" s="1">
        <v>10</v>
      </c>
      <c r="N48" s="1">
        <v>36300.71</v>
      </c>
    </row>
    <row r="49" spans="1:14" x14ac:dyDescent="0.25">
      <c r="A49" s="1">
        <v>1048</v>
      </c>
      <c r="B49" s="1" t="s">
        <v>256</v>
      </c>
      <c r="C49" s="1" t="s">
        <v>239</v>
      </c>
      <c r="D49" s="1" t="s">
        <v>224</v>
      </c>
      <c r="E49" s="1" t="s">
        <v>233</v>
      </c>
      <c r="F49" s="1" t="s">
        <v>225</v>
      </c>
      <c r="G49" s="1" t="s">
        <v>248</v>
      </c>
      <c r="H49" s="1" t="s">
        <v>221</v>
      </c>
      <c r="I49" s="1">
        <v>1</v>
      </c>
      <c r="J49" s="1">
        <v>9646</v>
      </c>
      <c r="K49" s="1">
        <v>8199.1</v>
      </c>
      <c r="L49" s="1" t="s">
        <v>240</v>
      </c>
      <c r="M49" s="1">
        <v>15</v>
      </c>
      <c r="N49" s="1">
        <v>1570.19</v>
      </c>
    </row>
    <row r="50" spans="1:14" x14ac:dyDescent="0.25">
      <c r="A50" s="1">
        <v>1049</v>
      </c>
      <c r="B50" s="1" t="s">
        <v>257</v>
      </c>
      <c r="C50" s="1" t="s">
        <v>229</v>
      </c>
      <c r="D50" s="1" t="s">
        <v>220</v>
      </c>
      <c r="E50" s="1" t="s">
        <v>85</v>
      </c>
      <c r="F50" s="1" t="s">
        <v>215</v>
      </c>
      <c r="G50" s="1" t="s">
        <v>246</v>
      </c>
      <c r="H50" s="1" t="s">
        <v>234</v>
      </c>
      <c r="I50" s="1">
        <v>5</v>
      </c>
      <c r="J50" s="1">
        <v>40647</v>
      </c>
      <c r="K50" s="1">
        <v>182911.5</v>
      </c>
      <c r="L50" s="1" t="s">
        <v>240</v>
      </c>
      <c r="M50" s="1">
        <v>10</v>
      </c>
      <c r="N50" s="1">
        <v>22828.84</v>
      </c>
    </row>
    <row r="51" spans="1:14" x14ac:dyDescent="0.25">
      <c r="A51" s="1">
        <v>1050</v>
      </c>
      <c r="B51" s="1" t="s">
        <v>257</v>
      </c>
      <c r="C51" s="1" t="s">
        <v>239</v>
      </c>
      <c r="D51" s="1" t="s">
        <v>232</v>
      </c>
      <c r="E51" s="1" t="s">
        <v>233</v>
      </c>
      <c r="F51" s="1" t="s">
        <v>225</v>
      </c>
      <c r="G51" s="1" t="s">
        <v>226</v>
      </c>
      <c r="H51" s="1" t="s">
        <v>221</v>
      </c>
      <c r="I51" s="1">
        <v>5</v>
      </c>
      <c r="J51" s="1">
        <v>30882</v>
      </c>
      <c r="K51" s="1">
        <v>138969</v>
      </c>
      <c r="L51" s="1" t="s">
        <v>227</v>
      </c>
      <c r="M51" s="1">
        <v>10</v>
      </c>
      <c r="N51" s="1">
        <v>32156.79</v>
      </c>
    </row>
    <row r="52" spans="1:14" x14ac:dyDescent="0.25">
      <c r="A52" s="1">
        <v>1051</v>
      </c>
      <c r="B52" s="1" t="s">
        <v>257</v>
      </c>
      <c r="C52" s="1" t="s">
        <v>213</v>
      </c>
      <c r="D52" s="1" t="s">
        <v>220</v>
      </c>
      <c r="E52" s="1" t="s">
        <v>85</v>
      </c>
      <c r="F52" s="1" t="s">
        <v>215</v>
      </c>
      <c r="G52" s="1" t="s">
        <v>246</v>
      </c>
      <c r="H52" s="1" t="s">
        <v>234</v>
      </c>
      <c r="I52" s="1">
        <v>5</v>
      </c>
      <c r="J52" s="1">
        <v>25938</v>
      </c>
      <c r="K52" s="1">
        <v>123205.5</v>
      </c>
      <c r="L52" s="1" t="s">
        <v>227</v>
      </c>
      <c r="M52" s="1">
        <v>5</v>
      </c>
      <c r="N52" s="1">
        <v>34405.47</v>
      </c>
    </row>
    <row r="53" spans="1:14" x14ac:dyDescent="0.25">
      <c r="A53" s="1">
        <v>1052</v>
      </c>
      <c r="B53" s="1" t="s">
        <v>257</v>
      </c>
      <c r="C53" s="1" t="s">
        <v>223</v>
      </c>
      <c r="D53" s="1" t="s">
        <v>214</v>
      </c>
      <c r="E53" s="1" t="s">
        <v>124</v>
      </c>
      <c r="F53" s="1" t="s">
        <v>215</v>
      </c>
      <c r="G53" s="1" t="s">
        <v>246</v>
      </c>
      <c r="H53" s="1" t="s">
        <v>217</v>
      </c>
      <c r="I53" s="1">
        <v>2</v>
      </c>
      <c r="J53" s="1">
        <v>39220</v>
      </c>
      <c r="K53" s="1">
        <v>66674</v>
      </c>
      <c r="L53" s="1" t="s">
        <v>222</v>
      </c>
      <c r="M53" s="1">
        <v>15</v>
      </c>
      <c r="N53" s="1">
        <v>7773.51</v>
      </c>
    </row>
    <row r="54" spans="1:14" x14ac:dyDescent="0.25">
      <c r="A54" s="1">
        <v>1053</v>
      </c>
      <c r="B54" s="1" t="s">
        <v>258</v>
      </c>
      <c r="C54" s="1" t="s">
        <v>213</v>
      </c>
      <c r="D54" s="1" t="s">
        <v>245</v>
      </c>
      <c r="E54" s="1" t="s">
        <v>124</v>
      </c>
      <c r="F54" s="1" t="s">
        <v>215</v>
      </c>
      <c r="G54" s="1" t="s">
        <v>216</v>
      </c>
      <c r="H54" s="1" t="s">
        <v>221</v>
      </c>
      <c r="I54" s="1">
        <v>2</v>
      </c>
      <c r="J54" s="1">
        <v>44743</v>
      </c>
      <c r="K54" s="1">
        <v>89486</v>
      </c>
      <c r="L54" s="1" t="s">
        <v>227</v>
      </c>
      <c r="M54" s="1">
        <v>0</v>
      </c>
      <c r="N54" s="1">
        <v>23646.05</v>
      </c>
    </row>
    <row r="55" spans="1:14" x14ac:dyDescent="0.25">
      <c r="A55" s="1">
        <v>1054</v>
      </c>
      <c r="B55" s="1" t="s">
        <v>258</v>
      </c>
      <c r="C55" s="1" t="s">
        <v>229</v>
      </c>
      <c r="D55" s="1" t="s">
        <v>232</v>
      </c>
      <c r="E55" s="1" t="s">
        <v>233</v>
      </c>
      <c r="F55" s="1" t="s">
        <v>225</v>
      </c>
      <c r="G55" s="1" t="s">
        <v>226</v>
      </c>
      <c r="H55" s="1" t="s">
        <v>221</v>
      </c>
      <c r="I55" s="1">
        <v>5</v>
      </c>
      <c r="J55" s="1">
        <v>7291</v>
      </c>
      <c r="K55" s="1">
        <v>34632.25</v>
      </c>
      <c r="L55" s="1" t="s">
        <v>240</v>
      </c>
      <c r="M55" s="1">
        <v>5</v>
      </c>
      <c r="N55" s="1">
        <v>5846.46</v>
      </c>
    </row>
    <row r="56" spans="1:14" x14ac:dyDescent="0.25">
      <c r="A56" s="1">
        <v>1055</v>
      </c>
      <c r="B56" s="1" t="s">
        <v>258</v>
      </c>
      <c r="C56" s="1" t="s">
        <v>229</v>
      </c>
      <c r="D56" s="1" t="s">
        <v>232</v>
      </c>
      <c r="E56" s="1" t="s">
        <v>233</v>
      </c>
      <c r="F56" s="1" t="s">
        <v>215</v>
      </c>
      <c r="G56" s="1" t="s">
        <v>244</v>
      </c>
      <c r="H56" s="1" t="s">
        <v>221</v>
      </c>
      <c r="I56" s="1">
        <v>4</v>
      </c>
      <c r="J56" s="1">
        <v>27645</v>
      </c>
      <c r="K56" s="1">
        <v>110580</v>
      </c>
      <c r="L56" s="1" t="s">
        <v>227</v>
      </c>
      <c r="M56" s="1">
        <v>0</v>
      </c>
      <c r="N56" s="1">
        <v>16349.37</v>
      </c>
    </row>
    <row r="57" spans="1:14" x14ac:dyDescent="0.25">
      <c r="A57" s="1">
        <v>1056</v>
      </c>
      <c r="B57" s="1" t="s">
        <v>259</v>
      </c>
      <c r="C57" s="1" t="s">
        <v>213</v>
      </c>
      <c r="D57" s="1" t="s">
        <v>245</v>
      </c>
      <c r="E57" s="1" t="s">
        <v>124</v>
      </c>
      <c r="F57" s="1" t="s">
        <v>215</v>
      </c>
      <c r="G57" s="1" t="s">
        <v>246</v>
      </c>
      <c r="H57" s="1" t="s">
        <v>217</v>
      </c>
      <c r="I57" s="1">
        <v>3</v>
      </c>
      <c r="J57" s="1">
        <v>19971</v>
      </c>
      <c r="K57" s="1">
        <v>56917.35</v>
      </c>
      <c r="L57" s="1" t="s">
        <v>218</v>
      </c>
      <c r="M57" s="1">
        <v>5</v>
      </c>
      <c r="N57" s="1">
        <v>11123.07</v>
      </c>
    </row>
    <row r="58" spans="1:14" x14ac:dyDescent="0.25">
      <c r="A58" s="1">
        <v>1057</v>
      </c>
      <c r="B58" s="1" t="s">
        <v>259</v>
      </c>
      <c r="C58" s="1" t="s">
        <v>229</v>
      </c>
      <c r="D58" s="1" t="s">
        <v>224</v>
      </c>
      <c r="E58" s="1" t="s">
        <v>233</v>
      </c>
      <c r="F58" s="1" t="s">
        <v>230</v>
      </c>
      <c r="G58" s="1" t="s">
        <v>241</v>
      </c>
      <c r="H58" s="1" t="s">
        <v>221</v>
      </c>
      <c r="I58" s="1">
        <v>3</v>
      </c>
      <c r="J58" s="1">
        <v>11230</v>
      </c>
      <c r="K58" s="1">
        <v>30321</v>
      </c>
      <c r="L58" s="1" t="s">
        <v>227</v>
      </c>
      <c r="M58" s="1">
        <v>10</v>
      </c>
      <c r="N58" s="1">
        <v>7264.76</v>
      </c>
    </row>
    <row r="59" spans="1:14" x14ac:dyDescent="0.25">
      <c r="A59" s="1">
        <v>1058</v>
      </c>
      <c r="B59" s="1" t="s">
        <v>260</v>
      </c>
      <c r="C59" s="1" t="s">
        <v>213</v>
      </c>
      <c r="D59" s="1" t="s">
        <v>220</v>
      </c>
      <c r="E59" s="1" t="s">
        <v>85</v>
      </c>
      <c r="F59" s="1" t="s">
        <v>215</v>
      </c>
      <c r="G59" s="1" t="s">
        <v>216</v>
      </c>
      <c r="H59" s="1" t="s">
        <v>128</v>
      </c>
      <c r="I59" s="1">
        <v>4</v>
      </c>
      <c r="J59" s="1">
        <v>14439</v>
      </c>
      <c r="K59" s="1">
        <v>49092.6</v>
      </c>
      <c r="L59" s="1" t="s">
        <v>218</v>
      </c>
      <c r="M59" s="1">
        <v>15</v>
      </c>
      <c r="N59" s="1">
        <v>6604.66</v>
      </c>
    </row>
    <row r="60" spans="1:14" x14ac:dyDescent="0.25">
      <c r="A60" s="1">
        <v>1059</v>
      </c>
      <c r="B60" s="1" t="s">
        <v>260</v>
      </c>
      <c r="C60" s="1" t="s">
        <v>229</v>
      </c>
      <c r="D60" s="1" t="s">
        <v>245</v>
      </c>
      <c r="E60" s="1" t="s">
        <v>124</v>
      </c>
      <c r="F60" s="1" t="s">
        <v>225</v>
      </c>
      <c r="G60" s="1" t="s">
        <v>226</v>
      </c>
      <c r="H60" s="1" t="s">
        <v>128</v>
      </c>
      <c r="I60" s="1">
        <v>3</v>
      </c>
      <c r="J60" s="1">
        <v>4146</v>
      </c>
      <c r="K60" s="1">
        <v>12438</v>
      </c>
      <c r="L60" s="1" t="s">
        <v>222</v>
      </c>
      <c r="M60" s="1">
        <v>0</v>
      </c>
      <c r="N60" s="1">
        <v>1759.39</v>
      </c>
    </row>
    <row r="61" spans="1:14" x14ac:dyDescent="0.25">
      <c r="A61" s="1">
        <v>1060</v>
      </c>
      <c r="B61" s="1" t="s">
        <v>260</v>
      </c>
      <c r="C61" s="1" t="s">
        <v>219</v>
      </c>
      <c r="D61" s="1" t="s">
        <v>220</v>
      </c>
      <c r="E61" s="1" t="s">
        <v>85</v>
      </c>
      <c r="F61" s="1" t="s">
        <v>215</v>
      </c>
      <c r="G61" s="1" t="s">
        <v>246</v>
      </c>
      <c r="H61" s="1" t="s">
        <v>128</v>
      </c>
      <c r="I61" s="1">
        <v>1</v>
      </c>
      <c r="J61" s="1">
        <v>35172</v>
      </c>
      <c r="K61" s="1">
        <v>35172</v>
      </c>
      <c r="L61" s="1" t="s">
        <v>222</v>
      </c>
      <c r="M61" s="1">
        <v>0</v>
      </c>
      <c r="N61" s="1">
        <v>4402.43</v>
      </c>
    </row>
    <row r="62" spans="1:14" x14ac:dyDescent="0.25">
      <c r="A62" s="1">
        <v>1061</v>
      </c>
      <c r="B62" s="1" t="s">
        <v>260</v>
      </c>
      <c r="C62" s="1" t="s">
        <v>219</v>
      </c>
      <c r="D62" s="1" t="s">
        <v>220</v>
      </c>
      <c r="E62" s="1" t="s">
        <v>85</v>
      </c>
      <c r="F62" s="1" t="s">
        <v>230</v>
      </c>
      <c r="G62" s="1" t="s">
        <v>231</v>
      </c>
      <c r="H62" s="1" t="s">
        <v>221</v>
      </c>
      <c r="I62" s="1">
        <v>4</v>
      </c>
      <c r="J62" s="1">
        <v>47360</v>
      </c>
      <c r="K62" s="1">
        <v>189440</v>
      </c>
      <c r="L62" s="1" t="s">
        <v>222</v>
      </c>
      <c r="M62" s="1">
        <v>0</v>
      </c>
      <c r="N62" s="1">
        <v>34380.83</v>
      </c>
    </row>
    <row r="63" spans="1:14" x14ac:dyDescent="0.25">
      <c r="A63" s="1">
        <v>1062</v>
      </c>
      <c r="B63" s="1" t="s">
        <v>261</v>
      </c>
      <c r="C63" s="1" t="s">
        <v>223</v>
      </c>
      <c r="D63" s="1" t="s">
        <v>245</v>
      </c>
      <c r="E63" s="1" t="s">
        <v>124</v>
      </c>
      <c r="F63" s="1" t="s">
        <v>230</v>
      </c>
      <c r="G63" s="1" t="s">
        <v>242</v>
      </c>
      <c r="H63" s="1" t="s">
        <v>221</v>
      </c>
      <c r="I63" s="1">
        <v>4</v>
      </c>
      <c r="J63" s="1">
        <v>3687</v>
      </c>
      <c r="K63" s="1">
        <v>14010.6</v>
      </c>
      <c r="L63" s="1" t="s">
        <v>222</v>
      </c>
      <c r="M63" s="1">
        <v>5</v>
      </c>
      <c r="N63" s="1">
        <v>2180.59</v>
      </c>
    </row>
    <row r="64" spans="1:14" x14ac:dyDescent="0.25">
      <c r="A64" s="1">
        <v>1063</v>
      </c>
      <c r="B64" s="1" t="s">
        <v>261</v>
      </c>
      <c r="C64" s="1" t="s">
        <v>223</v>
      </c>
      <c r="D64" s="1" t="s">
        <v>245</v>
      </c>
      <c r="E64" s="1" t="s">
        <v>124</v>
      </c>
      <c r="F64" s="1" t="s">
        <v>225</v>
      </c>
      <c r="G64" s="1" t="s">
        <v>248</v>
      </c>
      <c r="H64" s="1" t="s">
        <v>221</v>
      </c>
      <c r="I64" s="1">
        <v>2</v>
      </c>
      <c r="J64" s="1">
        <v>43276</v>
      </c>
      <c r="K64" s="1">
        <v>73569.2</v>
      </c>
      <c r="L64" s="1" t="s">
        <v>227</v>
      </c>
      <c r="M64" s="1">
        <v>15</v>
      </c>
      <c r="N64" s="1">
        <v>17340.79</v>
      </c>
    </row>
    <row r="65" spans="1:14" x14ac:dyDescent="0.25">
      <c r="A65" s="1">
        <v>1064</v>
      </c>
      <c r="B65" s="1" t="s">
        <v>262</v>
      </c>
      <c r="C65" s="1" t="s">
        <v>213</v>
      </c>
      <c r="D65" s="1" t="s">
        <v>232</v>
      </c>
      <c r="E65" s="1" t="s">
        <v>233</v>
      </c>
      <c r="F65" s="1" t="s">
        <v>225</v>
      </c>
      <c r="G65" s="1" t="s">
        <v>236</v>
      </c>
      <c r="H65" s="1" t="s">
        <v>221</v>
      </c>
      <c r="I65" s="1">
        <v>1</v>
      </c>
      <c r="J65" s="1">
        <v>49864</v>
      </c>
      <c r="K65" s="1">
        <v>42384.4</v>
      </c>
      <c r="L65" s="1" t="s">
        <v>227</v>
      </c>
      <c r="M65" s="1">
        <v>15</v>
      </c>
      <c r="N65" s="1">
        <v>7665.68</v>
      </c>
    </row>
    <row r="66" spans="1:14" x14ac:dyDescent="0.25">
      <c r="A66" s="1">
        <v>1065</v>
      </c>
      <c r="B66" s="1" t="s">
        <v>262</v>
      </c>
      <c r="C66" s="1" t="s">
        <v>213</v>
      </c>
      <c r="D66" s="1" t="s">
        <v>224</v>
      </c>
      <c r="E66" s="1" t="s">
        <v>233</v>
      </c>
      <c r="F66" s="1" t="s">
        <v>230</v>
      </c>
      <c r="G66" s="1" t="s">
        <v>242</v>
      </c>
      <c r="H66" s="1" t="s">
        <v>221</v>
      </c>
      <c r="I66" s="1">
        <v>5</v>
      </c>
      <c r="J66" s="1">
        <v>14631</v>
      </c>
      <c r="K66" s="1">
        <v>62181.75</v>
      </c>
      <c r="L66" s="1" t="s">
        <v>240</v>
      </c>
      <c r="M66" s="1">
        <v>15</v>
      </c>
      <c r="N66" s="1">
        <v>11157.43</v>
      </c>
    </row>
    <row r="67" spans="1:14" x14ac:dyDescent="0.25">
      <c r="A67" s="1">
        <v>1066</v>
      </c>
      <c r="B67" s="1" t="s">
        <v>262</v>
      </c>
      <c r="C67" s="1" t="s">
        <v>219</v>
      </c>
      <c r="D67" s="1" t="s">
        <v>220</v>
      </c>
      <c r="E67" s="1" t="s">
        <v>85</v>
      </c>
      <c r="F67" s="1" t="s">
        <v>215</v>
      </c>
      <c r="G67" s="1" t="s">
        <v>216</v>
      </c>
      <c r="H67" s="1" t="s">
        <v>128</v>
      </c>
      <c r="I67" s="1">
        <v>4</v>
      </c>
      <c r="J67" s="1">
        <v>25902</v>
      </c>
      <c r="K67" s="1">
        <v>103608</v>
      </c>
      <c r="L67" s="1" t="s">
        <v>218</v>
      </c>
      <c r="M67" s="1">
        <v>0</v>
      </c>
      <c r="N67" s="1">
        <v>15753.29</v>
      </c>
    </row>
    <row r="68" spans="1:14" x14ac:dyDescent="0.25">
      <c r="A68" s="1">
        <v>1067</v>
      </c>
      <c r="B68" s="1" t="s">
        <v>262</v>
      </c>
      <c r="C68" s="1" t="s">
        <v>239</v>
      </c>
      <c r="D68" s="1" t="s">
        <v>232</v>
      </c>
      <c r="E68" s="1" t="s">
        <v>233</v>
      </c>
      <c r="F68" s="1" t="s">
        <v>215</v>
      </c>
      <c r="G68" s="1" t="s">
        <v>246</v>
      </c>
      <c r="H68" s="1" t="s">
        <v>128</v>
      </c>
      <c r="I68" s="1">
        <v>4</v>
      </c>
      <c r="J68" s="1">
        <v>12366</v>
      </c>
      <c r="K68" s="1">
        <v>44517.599999999999</v>
      </c>
      <c r="L68" s="1" t="s">
        <v>222</v>
      </c>
      <c r="M68" s="1">
        <v>10</v>
      </c>
      <c r="N68" s="1">
        <v>7498.97</v>
      </c>
    </row>
    <row r="69" spans="1:14" x14ac:dyDescent="0.25">
      <c r="A69" s="1">
        <v>1068</v>
      </c>
      <c r="B69" s="1" t="s">
        <v>262</v>
      </c>
      <c r="C69" s="1" t="s">
        <v>229</v>
      </c>
      <c r="D69" s="1" t="s">
        <v>214</v>
      </c>
      <c r="E69" s="1" t="s">
        <v>124</v>
      </c>
      <c r="F69" s="1" t="s">
        <v>215</v>
      </c>
      <c r="G69" s="1" t="s">
        <v>244</v>
      </c>
      <c r="H69" s="1" t="s">
        <v>234</v>
      </c>
      <c r="I69" s="1">
        <v>3</v>
      </c>
      <c r="J69" s="1">
        <v>2808</v>
      </c>
      <c r="K69" s="1">
        <v>8002.8</v>
      </c>
      <c r="L69" s="1" t="s">
        <v>227</v>
      </c>
      <c r="M69" s="1">
        <v>5</v>
      </c>
      <c r="N69" s="1">
        <v>1382.02</v>
      </c>
    </row>
    <row r="70" spans="1:14" x14ac:dyDescent="0.25">
      <c r="A70" s="1">
        <v>1069</v>
      </c>
      <c r="B70" s="1" t="s">
        <v>263</v>
      </c>
      <c r="C70" s="1" t="s">
        <v>229</v>
      </c>
      <c r="D70" s="1" t="s">
        <v>214</v>
      </c>
      <c r="E70" s="1" t="s">
        <v>124</v>
      </c>
      <c r="F70" s="1" t="s">
        <v>230</v>
      </c>
      <c r="G70" s="1" t="s">
        <v>242</v>
      </c>
      <c r="H70" s="1" t="s">
        <v>128</v>
      </c>
      <c r="I70" s="1">
        <v>5</v>
      </c>
      <c r="J70" s="1">
        <v>42042</v>
      </c>
      <c r="K70" s="1">
        <v>199699.5</v>
      </c>
      <c r="L70" s="1" t="s">
        <v>222</v>
      </c>
      <c r="M70" s="1">
        <v>5</v>
      </c>
      <c r="N70" s="1">
        <v>52990.81</v>
      </c>
    </row>
    <row r="71" spans="1:14" x14ac:dyDescent="0.25">
      <c r="A71" s="1">
        <v>1070</v>
      </c>
      <c r="B71" s="1" t="s">
        <v>263</v>
      </c>
      <c r="C71" s="1" t="s">
        <v>239</v>
      </c>
      <c r="D71" s="1" t="s">
        <v>220</v>
      </c>
      <c r="E71" s="1" t="s">
        <v>85</v>
      </c>
      <c r="F71" s="1" t="s">
        <v>230</v>
      </c>
      <c r="G71" s="1" t="s">
        <v>242</v>
      </c>
      <c r="H71" s="1" t="s">
        <v>221</v>
      </c>
      <c r="I71" s="1">
        <v>3</v>
      </c>
      <c r="J71" s="1">
        <v>41988</v>
      </c>
      <c r="K71" s="1">
        <v>119665.8</v>
      </c>
      <c r="L71" s="1" t="s">
        <v>222</v>
      </c>
      <c r="M71" s="1">
        <v>5</v>
      </c>
      <c r="N71" s="1">
        <v>24675.29</v>
      </c>
    </row>
    <row r="72" spans="1:14" x14ac:dyDescent="0.25">
      <c r="A72" s="1">
        <v>1071</v>
      </c>
      <c r="B72" s="1" t="s">
        <v>263</v>
      </c>
      <c r="C72" s="1" t="s">
        <v>219</v>
      </c>
      <c r="D72" s="1" t="s">
        <v>232</v>
      </c>
      <c r="E72" s="1" t="s">
        <v>233</v>
      </c>
      <c r="F72" s="1" t="s">
        <v>225</v>
      </c>
      <c r="G72" s="1" t="s">
        <v>226</v>
      </c>
      <c r="H72" s="1" t="s">
        <v>221</v>
      </c>
      <c r="I72" s="1">
        <v>4</v>
      </c>
      <c r="J72" s="1">
        <v>23397</v>
      </c>
      <c r="K72" s="1">
        <v>88908.6</v>
      </c>
      <c r="L72" s="1" t="s">
        <v>240</v>
      </c>
      <c r="M72" s="1">
        <v>5</v>
      </c>
      <c r="N72" s="1">
        <v>25213.4</v>
      </c>
    </row>
    <row r="73" spans="1:14" x14ac:dyDescent="0.25">
      <c r="A73" s="1">
        <v>1072</v>
      </c>
      <c r="B73" s="1" t="s">
        <v>263</v>
      </c>
      <c r="C73" s="1" t="s">
        <v>223</v>
      </c>
      <c r="D73" s="1" t="s">
        <v>224</v>
      </c>
      <c r="E73" s="1" t="s">
        <v>233</v>
      </c>
      <c r="F73" s="1" t="s">
        <v>230</v>
      </c>
      <c r="G73" s="1" t="s">
        <v>241</v>
      </c>
      <c r="H73" s="1" t="s">
        <v>234</v>
      </c>
      <c r="I73" s="1">
        <v>2</v>
      </c>
      <c r="J73" s="1">
        <v>36541</v>
      </c>
      <c r="K73" s="1">
        <v>69427.899999999994</v>
      </c>
      <c r="L73" s="1" t="s">
        <v>222</v>
      </c>
      <c r="M73" s="1">
        <v>5</v>
      </c>
      <c r="N73" s="1">
        <v>17517.07</v>
      </c>
    </row>
    <row r="74" spans="1:14" x14ac:dyDescent="0.25">
      <c r="A74" s="1">
        <v>1073</v>
      </c>
      <c r="B74" s="1" t="s">
        <v>263</v>
      </c>
      <c r="C74" s="1" t="s">
        <v>229</v>
      </c>
      <c r="D74" s="1" t="s">
        <v>224</v>
      </c>
      <c r="E74" s="1" t="s">
        <v>233</v>
      </c>
      <c r="F74" s="1" t="s">
        <v>230</v>
      </c>
      <c r="G74" s="1" t="s">
        <v>231</v>
      </c>
      <c r="H74" s="1" t="s">
        <v>221</v>
      </c>
      <c r="I74" s="1">
        <v>3</v>
      </c>
      <c r="J74" s="1">
        <v>6630</v>
      </c>
      <c r="K74" s="1">
        <v>19890</v>
      </c>
      <c r="L74" s="1" t="s">
        <v>222</v>
      </c>
      <c r="M74" s="1">
        <v>0</v>
      </c>
      <c r="N74" s="1">
        <v>2236.46</v>
      </c>
    </row>
    <row r="75" spans="1:14" x14ac:dyDescent="0.25">
      <c r="A75" s="1">
        <v>1074</v>
      </c>
      <c r="B75" s="1" t="s">
        <v>264</v>
      </c>
      <c r="C75" s="1" t="s">
        <v>223</v>
      </c>
      <c r="D75" s="1" t="s">
        <v>224</v>
      </c>
      <c r="E75" s="1" t="s">
        <v>233</v>
      </c>
      <c r="F75" s="1" t="s">
        <v>230</v>
      </c>
      <c r="G75" s="1" t="s">
        <v>242</v>
      </c>
      <c r="H75" s="1" t="s">
        <v>217</v>
      </c>
      <c r="I75" s="1">
        <v>5</v>
      </c>
      <c r="J75" s="1">
        <v>22708</v>
      </c>
      <c r="K75" s="1">
        <v>96509</v>
      </c>
      <c r="L75" s="1" t="s">
        <v>227</v>
      </c>
      <c r="M75" s="1">
        <v>15</v>
      </c>
      <c r="N75" s="1">
        <v>19128.68</v>
      </c>
    </row>
    <row r="76" spans="1:14" x14ac:dyDescent="0.25">
      <c r="A76" s="1">
        <v>1075</v>
      </c>
      <c r="B76" s="1" t="s">
        <v>264</v>
      </c>
      <c r="C76" s="1" t="s">
        <v>239</v>
      </c>
      <c r="D76" s="1" t="s">
        <v>214</v>
      </c>
      <c r="E76" s="1" t="s">
        <v>124</v>
      </c>
      <c r="F76" s="1" t="s">
        <v>215</v>
      </c>
      <c r="G76" s="1" t="s">
        <v>246</v>
      </c>
      <c r="H76" s="1" t="s">
        <v>128</v>
      </c>
      <c r="I76" s="1">
        <v>5</v>
      </c>
      <c r="J76" s="1">
        <v>4443</v>
      </c>
      <c r="K76" s="1">
        <v>22215</v>
      </c>
      <c r="L76" s="1" t="s">
        <v>222</v>
      </c>
      <c r="M76" s="1">
        <v>0</v>
      </c>
      <c r="N76" s="1">
        <v>2509.85</v>
      </c>
    </row>
    <row r="77" spans="1:14" x14ac:dyDescent="0.25">
      <c r="A77" s="1">
        <v>1076</v>
      </c>
      <c r="B77" s="1" t="s">
        <v>265</v>
      </c>
      <c r="C77" s="1" t="s">
        <v>239</v>
      </c>
      <c r="D77" s="1" t="s">
        <v>224</v>
      </c>
      <c r="E77" s="1" t="s">
        <v>233</v>
      </c>
      <c r="F77" s="1" t="s">
        <v>230</v>
      </c>
      <c r="G77" s="1" t="s">
        <v>242</v>
      </c>
      <c r="H77" s="1" t="s">
        <v>221</v>
      </c>
      <c r="I77" s="1">
        <v>2</v>
      </c>
      <c r="J77" s="1">
        <v>3747</v>
      </c>
      <c r="K77" s="1">
        <v>7494</v>
      </c>
      <c r="L77" s="1" t="s">
        <v>240</v>
      </c>
      <c r="M77" s="1">
        <v>0</v>
      </c>
      <c r="N77" s="1">
        <v>1798.74</v>
      </c>
    </row>
    <row r="78" spans="1:14" x14ac:dyDescent="0.25">
      <c r="A78" s="1">
        <v>1077</v>
      </c>
      <c r="B78" s="1" t="s">
        <v>265</v>
      </c>
      <c r="C78" s="1" t="s">
        <v>213</v>
      </c>
      <c r="D78" s="1" t="s">
        <v>232</v>
      </c>
      <c r="E78" s="1" t="s">
        <v>233</v>
      </c>
      <c r="F78" s="1" t="s">
        <v>230</v>
      </c>
      <c r="G78" s="1" t="s">
        <v>231</v>
      </c>
      <c r="H78" s="1" t="s">
        <v>217</v>
      </c>
      <c r="I78" s="1">
        <v>1</v>
      </c>
      <c r="J78" s="1">
        <v>1975</v>
      </c>
      <c r="K78" s="1">
        <v>1876.25</v>
      </c>
      <c r="L78" s="1" t="s">
        <v>218</v>
      </c>
      <c r="M78" s="1">
        <v>5</v>
      </c>
      <c r="N78" s="1">
        <v>193.26</v>
      </c>
    </row>
    <row r="79" spans="1:14" x14ac:dyDescent="0.25">
      <c r="A79" s="1">
        <v>1078</v>
      </c>
      <c r="B79" s="1" t="s">
        <v>265</v>
      </c>
      <c r="C79" s="1" t="s">
        <v>239</v>
      </c>
      <c r="D79" s="1" t="s">
        <v>232</v>
      </c>
      <c r="E79" s="1" t="s">
        <v>233</v>
      </c>
      <c r="F79" s="1" t="s">
        <v>225</v>
      </c>
      <c r="G79" s="1" t="s">
        <v>226</v>
      </c>
      <c r="H79" s="1" t="s">
        <v>221</v>
      </c>
      <c r="I79" s="1">
        <v>4</v>
      </c>
      <c r="J79" s="1">
        <v>21342</v>
      </c>
      <c r="K79" s="1">
        <v>76831.199999999997</v>
      </c>
      <c r="L79" s="1" t="s">
        <v>227</v>
      </c>
      <c r="M79" s="1">
        <v>10</v>
      </c>
      <c r="N79" s="1">
        <v>10299.049999999999</v>
      </c>
    </row>
    <row r="80" spans="1:14" x14ac:dyDescent="0.25">
      <c r="A80" s="1">
        <v>1079</v>
      </c>
      <c r="B80" s="1" t="s">
        <v>265</v>
      </c>
      <c r="C80" s="1" t="s">
        <v>219</v>
      </c>
      <c r="D80" s="1" t="s">
        <v>224</v>
      </c>
      <c r="E80" s="1" t="s">
        <v>233</v>
      </c>
      <c r="F80" s="1" t="s">
        <v>215</v>
      </c>
      <c r="G80" s="1" t="s">
        <v>244</v>
      </c>
      <c r="H80" s="1" t="s">
        <v>217</v>
      </c>
      <c r="I80" s="1">
        <v>3</v>
      </c>
      <c r="J80" s="1">
        <v>2956</v>
      </c>
      <c r="K80" s="1">
        <v>8868</v>
      </c>
      <c r="L80" s="1" t="s">
        <v>222</v>
      </c>
      <c r="M80" s="1">
        <v>0</v>
      </c>
      <c r="N80" s="1">
        <v>1400.86</v>
      </c>
    </row>
    <row r="81" spans="1:14" x14ac:dyDescent="0.25">
      <c r="A81" s="1">
        <v>1080</v>
      </c>
      <c r="B81" s="1" t="s">
        <v>265</v>
      </c>
      <c r="C81" s="1" t="s">
        <v>229</v>
      </c>
      <c r="D81" s="1" t="s">
        <v>232</v>
      </c>
      <c r="E81" s="1" t="s">
        <v>233</v>
      </c>
      <c r="F81" s="1" t="s">
        <v>225</v>
      </c>
      <c r="G81" s="1" t="s">
        <v>226</v>
      </c>
      <c r="H81" s="1" t="s">
        <v>217</v>
      </c>
      <c r="I81" s="1">
        <v>3</v>
      </c>
      <c r="J81" s="1">
        <v>35322</v>
      </c>
      <c r="K81" s="1">
        <v>105966</v>
      </c>
      <c r="L81" s="1" t="s">
        <v>222</v>
      </c>
      <c r="M81" s="1">
        <v>0</v>
      </c>
      <c r="N81" s="1">
        <v>11695.09</v>
      </c>
    </row>
    <row r="82" spans="1:14" x14ac:dyDescent="0.25">
      <c r="A82" s="1">
        <v>1081</v>
      </c>
      <c r="B82" s="1" t="s">
        <v>266</v>
      </c>
      <c r="C82" s="1" t="s">
        <v>223</v>
      </c>
      <c r="D82" s="1" t="s">
        <v>224</v>
      </c>
      <c r="E82" s="1" t="s">
        <v>233</v>
      </c>
      <c r="F82" s="1" t="s">
        <v>225</v>
      </c>
      <c r="G82" s="1" t="s">
        <v>226</v>
      </c>
      <c r="H82" s="1" t="s">
        <v>221</v>
      </c>
      <c r="I82" s="1">
        <v>5</v>
      </c>
      <c r="J82" s="1">
        <v>31293</v>
      </c>
      <c r="K82" s="1">
        <v>156465</v>
      </c>
      <c r="L82" s="1" t="s">
        <v>240</v>
      </c>
      <c r="M82" s="1">
        <v>0</v>
      </c>
      <c r="N82" s="1">
        <v>19054.63</v>
      </c>
    </row>
    <row r="83" spans="1:14" x14ac:dyDescent="0.25">
      <c r="A83" s="1">
        <v>1082</v>
      </c>
      <c r="B83" s="1" t="s">
        <v>266</v>
      </c>
      <c r="C83" s="1" t="s">
        <v>223</v>
      </c>
      <c r="D83" s="1" t="s">
        <v>224</v>
      </c>
      <c r="E83" s="1" t="s">
        <v>233</v>
      </c>
      <c r="F83" s="1" t="s">
        <v>215</v>
      </c>
      <c r="G83" s="1" t="s">
        <v>216</v>
      </c>
      <c r="H83" s="1" t="s">
        <v>221</v>
      </c>
      <c r="I83" s="1">
        <v>5</v>
      </c>
      <c r="J83" s="1">
        <v>22465</v>
      </c>
      <c r="K83" s="1">
        <v>95476.25</v>
      </c>
      <c r="L83" s="1" t="s">
        <v>222</v>
      </c>
      <c r="M83" s="1">
        <v>15</v>
      </c>
      <c r="N83" s="1">
        <v>14260.76</v>
      </c>
    </row>
    <row r="84" spans="1:14" x14ac:dyDescent="0.25">
      <c r="A84" s="1">
        <v>1083</v>
      </c>
      <c r="B84" s="1" t="s">
        <v>267</v>
      </c>
      <c r="C84" s="1" t="s">
        <v>223</v>
      </c>
      <c r="D84" s="1" t="s">
        <v>214</v>
      </c>
      <c r="E84" s="1" t="s">
        <v>124</v>
      </c>
      <c r="F84" s="1" t="s">
        <v>215</v>
      </c>
      <c r="G84" s="1" t="s">
        <v>244</v>
      </c>
      <c r="H84" s="1" t="s">
        <v>234</v>
      </c>
      <c r="I84" s="1">
        <v>5</v>
      </c>
      <c r="J84" s="1">
        <v>45228</v>
      </c>
      <c r="K84" s="1">
        <v>214833</v>
      </c>
      <c r="L84" s="1" t="s">
        <v>218</v>
      </c>
      <c r="M84" s="1">
        <v>5</v>
      </c>
      <c r="N84" s="1">
        <v>25639.919999999998</v>
      </c>
    </row>
    <row r="85" spans="1:14" x14ac:dyDescent="0.25">
      <c r="A85" s="1">
        <v>1084</v>
      </c>
      <c r="B85" s="1" t="s">
        <v>267</v>
      </c>
      <c r="C85" s="1" t="s">
        <v>229</v>
      </c>
      <c r="D85" s="1" t="s">
        <v>224</v>
      </c>
      <c r="E85" s="1" t="s">
        <v>233</v>
      </c>
      <c r="F85" s="1" t="s">
        <v>225</v>
      </c>
      <c r="G85" s="1" t="s">
        <v>236</v>
      </c>
      <c r="H85" s="1" t="s">
        <v>234</v>
      </c>
      <c r="I85" s="1">
        <v>2</v>
      </c>
      <c r="J85" s="1">
        <v>41951</v>
      </c>
      <c r="K85" s="1">
        <v>79706.899999999994</v>
      </c>
      <c r="L85" s="1" t="s">
        <v>227</v>
      </c>
      <c r="M85" s="1">
        <v>5</v>
      </c>
      <c r="N85" s="1">
        <v>21630.66</v>
      </c>
    </row>
    <row r="86" spans="1:14" x14ac:dyDescent="0.25">
      <c r="A86" s="1">
        <v>1085</v>
      </c>
      <c r="B86" s="1" t="s">
        <v>267</v>
      </c>
      <c r="C86" s="1" t="s">
        <v>219</v>
      </c>
      <c r="D86" s="1" t="s">
        <v>220</v>
      </c>
      <c r="E86" s="1" t="s">
        <v>85</v>
      </c>
      <c r="F86" s="1" t="s">
        <v>225</v>
      </c>
      <c r="G86" s="1" t="s">
        <v>248</v>
      </c>
      <c r="H86" s="1" t="s">
        <v>217</v>
      </c>
      <c r="I86" s="1">
        <v>2</v>
      </c>
      <c r="J86" s="1">
        <v>39188</v>
      </c>
      <c r="K86" s="1">
        <v>74457.2</v>
      </c>
      <c r="L86" s="1" t="s">
        <v>227</v>
      </c>
      <c r="M86" s="1">
        <v>5</v>
      </c>
      <c r="N86" s="1">
        <v>20493.79</v>
      </c>
    </row>
    <row r="87" spans="1:14" x14ac:dyDescent="0.25">
      <c r="A87" s="1">
        <v>1086</v>
      </c>
      <c r="B87" s="1" t="s">
        <v>267</v>
      </c>
      <c r="C87" s="1" t="s">
        <v>223</v>
      </c>
      <c r="D87" s="1" t="s">
        <v>245</v>
      </c>
      <c r="E87" s="1" t="s">
        <v>124</v>
      </c>
      <c r="F87" s="1" t="s">
        <v>215</v>
      </c>
      <c r="G87" s="1" t="s">
        <v>216</v>
      </c>
      <c r="H87" s="1" t="s">
        <v>234</v>
      </c>
      <c r="I87" s="1">
        <v>2</v>
      </c>
      <c r="J87" s="1">
        <v>49585</v>
      </c>
      <c r="K87" s="1">
        <v>84294.5</v>
      </c>
      <c r="L87" s="1" t="s">
        <v>240</v>
      </c>
      <c r="M87" s="1">
        <v>15</v>
      </c>
      <c r="N87" s="1">
        <v>20283.25</v>
      </c>
    </row>
    <row r="88" spans="1:14" x14ac:dyDescent="0.25">
      <c r="A88" s="1">
        <v>1087</v>
      </c>
      <c r="B88" s="1" t="s">
        <v>267</v>
      </c>
      <c r="C88" s="1" t="s">
        <v>219</v>
      </c>
      <c r="D88" s="1" t="s">
        <v>232</v>
      </c>
      <c r="E88" s="1" t="s">
        <v>233</v>
      </c>
      <c r="F88" s="1" t="s">
        <v>215</v>
      </c>
      <c r="G88" s="1" t="s">
        <v>246</v>
      </c>
      <c r="H88" s="1" t="s">
        <v>128</v>
      </c>
      <c r="I88" s="1">
        <v>5</v>
      </c>
      <c r="J88" s="1">
        <v>45575</v>
      </c>
      <c r="K88" s="1">
        <v>193693.75</v>
      </c>
      <c r="L88" s="1" t="s">
        <v>227</v>
      </c>
      <c r="M88" s="1">
        <v>15</v>
      </c>
      <c r="N88" s="1">
        <v>42653.54</v>
      </c>
    </row>
    <row r="89" spans="1:14" x14ac:dyDescent="0.25">
      <c r="A89" s="1">
        <v>1088</v>
      </c>
      <c r="B89" s="1" t="s">
        <v>268</v>
      </c>
      <c r="C89" s="1" t="s">
        <v>239</v>
      </c>
      <c r="D89" s="1" t="s">
        <v>214</v>
      </c>
      <c r="E89" s="1" t="s">
        <v>124</v>
      </c>
      <c r="F89" s="1" t="s">
        <v>215</v>
      </c>
      <c r="G89" s="1" t="s">
        <v>216</v>
      </c>
      <c r="H89" s="1" t="s">
        <v>128</v>
      </c>
      <c r="I89" s="1">
        <v>2</v>
      </c>
      <c r="J89" s="1">
        <v>20912</v>
      </c>
      <c r="K89" s="1">
        <v>35550.400000000001</v>
      </c>
      <c r="L89" s="1" t="s">
        <v>240</v>
      </c>
      <c r="M89" s="1">
        <v>15</v>
      </c>
      <c r="N89" s="1">
        <v>8322.5300000000007</v>
      </c>
    </row>
    <row r="90" spans="1:14" x14ac:dyDescent="0.25">
      <c r="A90" s="1">
        <v>1089</v>
      </c>
      <c r="B90" s="1" t="s">
        <v>268</v>
      </c>
      <c r="C90" s="1" t="s">
        <v>223</v>
      </c>
      <c r="D90" s="1" t="s">
        <v>224</v>
      </c>
      <c r="E90" s="1" t="s">
        <v>233</v>
      </c>
      <c r="F90" s="1" t="s">
        <v>215</v>
      </c>
      <c r="G90" s="1" t="s">
        <v>244</v>
      </c>
      <c r="H90" s="1" t="s">
        <v>128</v>
      </c>
      <c r="I90" s="1">
        <v>1</v>
      </c>
      <c r="J90" s="1">
        <v>5049</v>
      </c>
      <c r="K90" s="1">
        <v>4291.6499999999996</v>
      </c>
      <c r="L90" s="1" t="s">
        <v>227</v>
      </c>
      <c r="M90" s="1">
        <v>15</v>
      </c>
      <c r="N90" s="1">
        <v>1066.1600000000001</v>
      </c>
    </row>
    <row r="91" spans="1:14" x14ac:dyDescent="0.25">
      <c r="A91" s="1">
        <v>1090</v>
      </c>
      <c r="B91" s="1" t="s">
        <v>269</v>
      </c>
      <c r="C91" s="1" t="s">
        <v>239</v>
      </c>
      <c r="D91" s="1" t="s">
        <v>245</v>
      </c>
      <c r="E91" s="1" t="s">
        <v>124</v>
      </c>
      <c r="F91" s="1" t="s">
        <v>225</v>
      </c>
      <c r="G91" s="1" t="s">
        <v>226</v>
      </c>
      <c r="H91" s="1" t="s">
        <v>221</v>
      </c>
      <c r="I91" s="1">
        <v>4</v>
      </c>
      <c r="J91" s="1">
        <v>44316</v>
      </c>
      <c r="K91" s="1">
        <v>177264</v>
      </c>
      <c r="L91" s="1" t="s">
        <v>240</v>
      </c>
      <c r="M91" s="1">
        <v>0</v>
      </c>
      <c r="N91" s="1">
        <v>20667.28</v>
      </c>
    </row>
    <row r="92" spans="1:14" x14ac:dyDescent="0.25">
      <c r="A92" s="1">
        <v>1091</v>
      </c>
      <c r="B92" s="1" t="s">
        <v>269</v>
      </c>
      <c r="C92" s="1" t="s">
        <v>219</v>
      </c>
      <c r="D92" s="1" t="s">
        <v>232</v>
      </c>
      <c r="E92" s="1" t="s">
        <v>233</v>
      </c>
      <c r="F92" s="1" t="s">
        <v>230</v>
      </c>
      <c r="G92" s="1" t="s">
        <v>231</v>
      </c>
      <c r="H92" s="1" t="s">
        <v>234</v>
      </c>
      <c r="I92" s="1">
        <v>4</v>
      </c>
      <c r="J92" s="1">
        <v>2803</v>
      </c>
      <c r="K92" s="1">
        <v>10090.799999999999</v>
      </c>
      <c r="L92" s="1" t="s">
        <v>240</v>
      </c>
      <c r="M92" s="1">
        <v>10</v>
      </c>
      <c r="N92" s="1">
        <v>2619.54</v>
      </c>
    </row>
    <row r="93" spans="1:14" x14ac:dyDescent="0.25">
      <c r="A93" s="1">
        <v>1092</v>
      </c>
      <c r="B93" s="1" t="s">
        <v>270</v>
      </c>
      <c r="C93" s="1" t="s">
        <v>223</v>
      </c>
      <c r="D93" s="1" t="s">
        <v>232</v>
      </c>
      <c r="E93" s="1" t="s">
        <v>233</v>
      </c>
      <c r="F93" s="1" t="s">
        <v>215</v>
      </c>
      <c r="G93" s="1" t="s">
        <v>244</v>
      </c>
      <c r="H93" s="1" t="s">
        <v>234</v>
      </c>
      <c r="I93" s="1">
        <v>4</v>
      </c>
      <c r="J93" s="1">
        <v>35885</v>
      </c>
      <c r="K93" s="1">
        <v>129186</v>
      </c>
      <c r="L93" s="1" t="s">
        <v>218</v>
      </c>
      <c r="M93" s="1">
        <v>10</v>
      </c>
      <c r="N93" s="1">
        <v>28401.15</v>
      </c>
    </row>
    <row r="94" spans="1:14" x14ac:dyDescent="0.25">
      <c r="A94" s="1">
        <v>1093</v>
      </c>
      <c r="B94" s="1" t="s">
        <v>270</v>
      </c>
      <c r="C94" s="1" t="s">
        <v>223</v>
      </c>
      <c r="D94" s="1" t="s">
        <v>214</v>
      </c>
      <c r="E94" s="1" t="s">
        <v>124</v>
      </c>
      <c r="F94" s="1" t="s">
        <v>225</v>
      </c>
      <c r="G94" s="1" t="s">
        <v>226</v>
      </c>
      <c r="H94" s="1" t="s">
        <v>217</v>
      </c>
      <c r="I94" s="1">
        <v>4</v>
      </c>
      <c r="J94" s="1">
        <v>36129</v>
      </c>
      <c r="K94" s="1">
        <v>144516</v>
      </c>
      <c r="L94" s="1" t="s">
        <v>218</v>
      </c>
      <c r="M94" s="1">
        <v>0</v>
      </c>
      <c r="N94" s="1">
        <v>26816.05</v>
      </c>
    </row>
    <row r="95" spans="1:14" x14ac:dyDescent="0.25">
      <c r="A95" s="1">
        <v>1094</v>
      </c>
      <c r="B95" s="1" t="s">
        <v>270</v>
      </c>
      <c r="C95" s="1" t="s">
        <v>239</v>
      </c>
      <c r="D95" s="1" t="s">
        <v>224</v>
      </c>
      <c r="E95" s="1" t="s">
        <v>233</v>
      </c>
      <c r="F95" s="1" t="s">
        <v>230</v>
      </c>
      <c r="G95" s="1" t="s">
        <v>231</v>
      </c>
      <c r="H95" s="1" t="s">
        <v>128</v>
      </c>
      <c r="I95" s="1">
        <v>5</v>
      </c>
      <c r="J95" s="1">
        <v>49666</v>
      </c>
      <c r="K95" s="1">
        <v>235913.5</v>
      </c>
      <c r="L95" s="1" t="s">
        <v>240</v>
      </c>
      <c r="M95" s="1">
        <v>5</v>
      </c>
      <c r="N95" s="1">
        <v>38290.74</v>
      </c>
    </row>
    <row r="96" spans="1:14" x14ac:dyDescent="0.25">
      <c r="A96" s="1">
        <v>1095</v>
      </c>
      <c r="B96" s="1" t="s">
        <v>270</v>
      </c>
      <c r="C96" s="1" t="s">
        <v>229</v>
      </c>
      <c r="D96" s="1" t="s">
        <v>214</v>
      </c>
      <c r="E96" s="1" t="s">
        <v>124</v>
      </c>
      <c r="F96" s="1" t="s">
        <v>225</v>
      </c>
      <c r="G96" s="1" t="s">
        <v>236</v>
      </c>
      <c r="H96" s="1" t="s">
        <v>217</v>
      </c>
      <c r="I96" s="1">
        <v>3</v>
      </c>
      <c r="J96" s="1">
        <v>36302</v>
      </c>
      <c r="K96" s="1">
        <v>98015.4</v>
      </c>
      <c r="L96" s="1" t="s">
        <v>240</v>
      </c>
      <c r="M96" s="1">
        <v>10</v>
      </c>
      <c r="N96" s="1">
        <v>26777.87</v>
      </c>
    </row>
    <row r="97" spans="1:14" x14ac:dyDescent="0.25">
      <c r="A97" s="1">
        <v>1096</v>
      </c>
      <c r="B97" s="1" t="s">
        <v>271</v>
      </c>
      <c r="C97" s="1" t="s">
        <v>229</v>
      </c>
      <c r="D97" s="1" t="s">
        <v>245</v>
      </c>
      <c r="E97" s="1" t="s">
        <v>124</v>
      </c>
      <c r="F97" s="1" t="s">
        <v>225</v>
      </c>
      <c r="G97" s="1" t="s">
        <v>236</v>
      </c>
      <c r="H97" s="1" t="s">
        <v>221</v>
      </c>
      <c r="I97" s="1">
        <v>1</v>
      </c>
      <c r="J97" s="1">
        <v>10198</v>
      </c>
      <c r="K97" s="1">
        <v>9178.2000000000007</v>
      </c>
      <c r="L97" s="1" t="s">
        <v>240</v>
      </c>
      <c r="M97" s="1">
        <v>10</v>
      </c>
      <c r="N97" s="1">
        <v>2116.79</v>
      </c>
    </row>
    <row r="98" spans="1:14" x14ac:dyDescent="0.25">
      <c r="A98" s="1">
        <v>1097</v>
      </c>
      <c r="B98" s="1" t="s">
        <v>271</v>
      </c>
      <c r="C98" s="1" t="s">
        <v>213</v>
      </c>
      <c r="D98" s="1" t="s">
        <v>232</v>
      </c>
      <c r="E98" s="1" t="s">
        <v>233</v>
      </c>
      <c r="F98" s="1" t="s">
        <v>230</v>
      </c>
      <c r="G98" s="1" t="s">
        <v>231</v>
      </c>
      <c r="H98" s="1" t="s">
        <v>128</v>
      </c>
      <c r="I98" s="1">
        <v>2</v>
      </c>
      <c r="J98" s="1">
        <v>6860</v>
      </c>
      <c r="K98" s="1">
        <v>12348</v>
      </c>
      <c r="L98" s="1" t="s">
        <v>227</v>
      </c>
      <c r="M98" s="1">
        <v>10</v>
      </c>
      <c r="N98" s="1">
        <v>1532.05</v>
      </c>
    </row>
    <row r="99" spans="1:14" x14ac:dyDescent="0.25">
      <c r="A99" s="1">
        <v>1098</v>
      </c>
      <c r="B99" s="1" t="s">
        <v>271</v>
      </c>
      <c r="C99" s="1" t="s">
        <v>239</v>
      </c>
      <c r="D99" s="1" t="s">
        <v>232</v>
      </c>
      <c r="E99" s="1" t="s">
        <v>233</v>
      </c>
      <c r="F99" s="1" t="s">
        <v>225</v>
      </c>
      <c r="G99" s="1" t="s">
        <v>226</v>
      </c>
      <c r="H99" s="1" t="s">
        <v>234</v>
      </c>
      <c r="I99" s="1">
        <v>1</v>
      </c>
      <c r="J99" s="1">
        <v>41353</v>
      </c>
      <c r="K99" s="1">
        <v>35150.050000000003</v>
      </c>
      <c r="L99" s="1" t="s">
        <v>222</v>
      </c>
      <c r="M99" s="1">
        <v>15</v>
      </c>
      <c r="N99" s="1">
        <v>8365.83</v>
      </c>
    </row>
    <row r="100" spans="1:14" x14ac:dyDescent="0.25">
      <c r="A100" s="1">
        <v>1099</v>
      </c>
      <c r="B100" s="1" t="s">
        <v>271</v>
      </c>
      <c r="C100" s="1" t="s">
        <v>239</v>
      </c>
      <c r="D100" s="1" t="s">
        <v>224</v>
      </c>
      <c r="E100" s="1" t="s">
        <v>233</v>
      </c>
      <c r="F100" s="1" t="s">
        <v>215</v>
      </c>
      <c r="G100" s="1" t="s">
        <v>216</v>
      </c>
      <c r="H100" s="1" t="s">
        <v>217</v>
      </c>
      <c r="I100" s="1">
        <v>1</v>
      </c>
      <c r="J100" s="1">
        <v>34861</v>
      </c>
      <c r="K100" s="1">
        <v>33117.949999999997</v>
      </c>
      <c r="L100" s="1" t="s">
        <v>218</v>
      </c>
      <c r="M100" s="1">
        <v>5</v>
      </c>
      <c r="N100" s="1">
        <v>3861.66</v>
      </c>
    </row>
    <row r="101" spans="1:14" x14ac:dyDescent="0.25">
      <c r="A101" s="1">
        <v>1100</v>
      </c>
      <c r="B101" s="1" t="s">
        <v>271</v>
      </c>
      <c r="C101" s="1" t="s">
        <v>239</v>
      </c>
      <c r="D101" s="1" t="s">
        <v>214</v>
      </c>
      <c r="E101" s="1" t="s">
        <v>124</v>
      </c>
      <c r="F101" s="1" t="s">
        <v>225</v>
      </c>
      <c r="G101" s="1" t="s">
        <v>248</v>
      </c>
      <c r="H101" s="1" t="s">
        <v>221</v>
      </c>
      <c r="I101" s="1">
        <v>2</v>
      </c>
      <c r="J101" s="1">
        <v>48226</v>
      </c>
      <c r="K101" s="1">
        <v>91629.4</v>
      </c>
      <c r="L101" s="1" t="s">
        <v>222</v>
      </c>
      <c r="M101" s="1">
        <v>5</v>
      </c>
      <c r="N101" s="1">
        <v>11608.26</v>
      </c>
    </row>
    <row r="102" spans="1:14" x14ac:dyDescent="0.25">
      <c r="A102" s="1">
        <v>1101</v>
      </c>
      <c r="B102" s="1" t="s">
        <v>272</v>
      </c>
      <c r="C102" s="1" t="s">
        <v>219</v>
      </c>
      <c r="D102" s="1" t="s">
        <v>232</v>
      </c>
      <c r="E102" s="1" t="s">
        <v>233</v>
      </c>
      <c r="F102" s="1" t="s">
        <v>215</v>
      </c>
      <c r="G102" s="1" t="s">
        <v>246</v>
      </c>
      <c r="H102" s="1" t="s">
        <v>234</v>
      </c>
      <c r="I102" s="1">
        <v>1</v>
      </c>
      <c r="J102" s="1">
        <v>44026</v>
      </c>
      <c r="K102" s="1">
        <v>37422.1</v>
      </c>
      <c r="L102" s="1" t="s">
        <v>218</v>
      </c>
      <c r="M102" s="1">
        <v>15</v>
      </c>
      <c r="N102" s="1">
        <v>10465.48</v>
      </c>
    </row>
    <row r="103" spans="1:14" x14ac:dyDescent="0.25">
      <c r="A103" s="1">
        <v>1102</v>
      </c>
      <c r="B103" s="1" t="s">
        <v>272</v>
      </c>
      <c r="C103" s="1" t="s">
        <v>219</v>
      </c>
      <c r="D103" s="1" t="s">
        <v>214</v>
      </c>
      <c r="E103" s="1" t="s">
        <v>124</v>
      </c>
      <c r="F103" s="1" t="s">
        <v>230</v>
      </c>
      <c r="G103" s="1" t="s">
        <v>231</v>
      </c>
      <c r="H103" s="1" t="s">
        <v>128</v>
      </c>
      <c r="I103" s="1">
        <v>2</v>
      </c>
      <c r="J103" s="1">
        <v>49019</v>
      </c>
      <c r="K103" s="1">
        <v>83332.3</v>
      </c>
      <c r="L103" s="1" t="s">
        <v>227</v>
      </c>
      <c r="M103" s="1">
        <v>15</v>
      </c>
      <c r="N103" s="1">
        <v>14340.04</v>
      </c>
    </row>
    <row r="104" spans="1:14" x14ac:dyDescent="0.25">
      <c r="A104" s="1">
        <v>1103</v>
      </c>
      <c r="B104" s="1" t="s">
        <v>272</v>
      </c>
      <c r="C104" s="1" t="s">
        <v>223</v>
      </c>
      <c r="D104" s="1" t="s">
        <v>232</v>
      </c>
      <c r="E104" s="1" t="s">
        <v>233</v>
      </c>
      <c r="F104" s="1" t="s">
        <v>230</v>
      </c>
      <c r="G104" s="1" t="s">
        <v>241</v>
      </c>
      <c r="H104" s="1" t="s">
        <v>217</v>
      </c>
      <c r="I104" s="1">
        <v>3</v>
      </c>
      <c r="J104" s="1">
        <v>22948</v>
      </c>
      <c r="K104" s="1">
        <v>68844</v>
      </c>
      <c r="L104" s="1" t="s">
        <v>218</v>
      </c>
      <c r="M104" s="1">
        <v>0</v>
      </c>
      <c r="N104" s="1">
        <v>9985.61</v>
      </c>
    </row>
    <row r="105" spans="1:14" x14ac:dyDescent="0.25">
      <c r="A105" s="1">
        <v>1104</v>
      </c>
      <c r="B105" s="1" t="s">
        <v>273</v>
      </c>
      <c r="C105" s="1" t="s">
        <v>219</v>
      </c>
      <c r="D105" s="1" t="s">
        <v>245</v>
      </c>
      <c r="E105" s="1" t="s">
        <v>124</v>
      </c>
      <c r="F105" s="1" t="s">
        <v>215</v>
      </c>
      <c r="G105" s="1" t="s">
        <v>244</v>
      </c>
      <c r="H105" s="1" t="s">
        <v>221</v>
      </c>
      <c r="I105" s="1">
        <v>3</v>
      </c>
      <c r="J105" s="1">
        <v>43165</v>
      </c>
      <c r="K105" s="1">
        <v>129495</v>
      </c>
      <c r="L105" s="1" t="s">
        <v>240</v>
      </c>
      <c r="M105" s="1">
        <v>0</v>
      </c>
      <c r="N105" s="1">
        <v>34440.49</v>
      </c>
    </row>
    <row r="106" spans="1:14" x14ac:dyDescent="0.25">
      <c r="A106" s="1">
        <v>1105</v>
      </c>
      <c r="B106" s="1" t="s">
        <v>273</v>
      </c>
      <c r="C106" s="1" t="s">
        <v>219</v>
      </c>
      <c r="D106" s="1" t="s">
        <v>220</v>
      </c>
      <c r="E106" s="1" t="s">
        <v>85</v>
      </c>
      <c r="F106" s="1" t="s">
        <v>225</v>
      </c>
      <c r="G106" s="1" t="s">
        <v>226</v>
      </c>
      <c r="H106" s="1" t="s">
        <v>234</v>
      </c>
      <c r="I106" s="1">
        <v>4</v>
      </c>
      <c r="J106" s="1">
        <v>44001</v>
      </c>
      <c r="K106" s="1">
        <v>167203.79999999999</v>
      </c>
      <c r="L106" s="1" t="s">
        <v>222</v>
      </c>
      <c r="M106" s="1">
        <v>5</v>
      </c>
      <c r="N106" s="1">
        <v>45201.82</v>
      </c>
    </row>
    <row r="107" spans="1:14" x14ac:dyDescent="0.25">
      <c r="A107" s="1">
        <v>1106</v>
      </c>
      <c r="B107" s="1" t="s">
        <v>273</v>
      </c>
      <c r="C107" s="1" t="s">
        <v>239</v>
      </c>
      <c r="D107" s="1" t="s">
        <v>224</v>
      </c>
      <c r="E107" s="1" t="s">
        <v>233</v>
      </c>
      <c r="F107" s="1" t="s">
        <v>215</v>
      </c>
      <c r="G107" s="1" t="s">
        <v>216</v>
      </c>
      <c r="H107" s="1" t="s">
        <v>217</v>
      </c>
      <c r="I107" s="1">
        <v>1</v>
      </c>
      <c r="J107" s="1">
        <v>2619</v>
      </c>
      <c r="K107" s="1">
        <v>2226.15</v>
      </c>
      <c r="L107" s="1" t="s">
        <v>240</v>
      </c>
      <c r="M107" s="1">
        <v>15</v>
      </c>
      <c r="N107" s="1">
        <v>278.85000000000002</v>
      </c>
    </row>
    <row r="108" spans="1:14" x14ac:dyDescent="0.25">
      <c r="A108" s="1">
        <v>1107</v>
      </c>
      <c r="B108" s="1" t="s">
        <v>273</v>
      </c>
      <c r="C108" s="1" t="s">
        <v>213</v>
      </c>
      <c r="D108" s="1" t="s">
        <v>224</v>
      </c>
      <c r="E108" s="1" t="s">
        <v>233</v>
      </c>
      <c r="F108" s="1" t="s">
        <v>230</v>
      </c>
      <c r="G108" s="1" t="s">
        <v>242</v>
      </c>
      <c r="H108" s="1" t="s">
        <v>221</v>
      </c>
      <c r="I108" s="1">
        <v>5</v>
      </c>
      <c r="J108" s="1">
        <v>24602</v>
      </c>
      <c r="K108" s="1">
        <v>123010</v>
      </c>
      <c r="L108" s="1" t="s">
        <v>218</v>
      </c>
      <c r="M108" s="1">
        <v>0</v>
      </c>
      <c r="N108" s="1">
        <v>18890.25</v>
      </c>
    </row>
    <row r="109" spans="1:14" x14ac:dyDescent="0.25">
      <c r="A109" s="1">
        <v>1108</v>
      </c>
      <c r="B109" s="1" t="s">
        <v>273</v>
      </c>
      <c r="C109" s="1" t="s">
        <v>239</v>
      </c>
      <c r="D109" s="1" t="s">
        <v>224</v>
      </c>
      <c r="E109" s="1" t="s">
        <v>233</v>
      </c>
      <c r="F109" s="1" t="s">
        <v>215</v>
      </c>
      <c r="G109" s="1" t="s">
        <v>216</v>
      </c>
      <c r="H109" s="1" t="s">
        <v>221</v>
      </c>
      <c r="I109" s="1">
        <v>2</v>
      </c>
      <c r="J109" s="1">
        <v>9108</v>
      </c>
      <c r="K109" s="1">
        <v>17305.2</v>
      </c>
      <c r="L109" s="1" t="s">
        <v>240</v>
      </c>
      <c r="M109" s="1">
        <v>5</v>
      </c>
      <c r="N109" s="1">
        <v>4683.96</v>
      </c>
    </row>
    <row r="110" spans="1:14" x14ac:dyDescent="0.25">
      <c r="A110" s="1">
        <v>1109</v>
      </c>
      <c r="B110" s="1" t="s">
        <v>274</v>
      </c>
      <c r="C110" s="1" t="s">
        <v>219</v>
      </c>
      <c r="D110" s="1" t="s">
        <v>245</v>
      </c>
      <c r="E110" s="1" t="s">
        <v>124</v>
      </c>
      <c r="F110" s="1" t="s">
        <v>225</v>
      </c>
      <c r="G110" s="1" t="s">
        <v>236</v>
      </c>
      <c r="H110" s="1" t="s">
        <v>128</v>
      </c>
      <c r="I110" s="1">
        <v>1</v>
      </c>
      <c r="J110" s="1">
        <v>40256</v>
      </c>
      <c r="K110" s="1">
        <v>34217.599999999999</v>
      </c>
      <c r="L110" s="1" t="s">
        <v>227</v>
      </c>
      <c r="M110" s="1">
        <v>15</v>
      </c>
      <c r="N110" s="1">
        <v>6140.64</v>
      </c>
    </row>
    <row r="111" spans="1:14" x14ac:dyDescent="0.25">
      <c r="A111" s="1">
        <v>1110</v>
      </c>
      <c r="B111" s="1" t="s">
        <v>274</v>
      </c>
      <c r="C111" s="1" t="s">
        <v>213</v>
      </c>
      <c r="D111" s="1" t="s">
        <v>232</v>
      </c>
      <c r="E111" s="1" t="s">
        <v>233</v>
      </c>
      <c r="F111" s="1" t="s">
        <v>225</v>
      </c>
      <c r="G111" s="1" t="s">
        <v>248</v>
      </c>
      <c r="H111" s="1" t="s">
        <v>217</v>
      </c>
      <c r="I111" s="1">
        <v>5</v>
      </c>
      <c r="J111" s="1">
        <v>4172</v>
      </c>
      <c r="K111" s="1">
        <v>19817</v>
      </c>
      <c r="L111" s="1" t="s">
        <v>240</v>
      </c>
      <c r="M111" s="1">
        <v>5</v>
      </c>
      <c r="N111" s="1">
        <v>4228.43</v>
      </c>
    </row>
    <row r="112" spans="1:14" x14ac:dyDescent="0.25">
      <c r="A112" s="1">
        <v>1111</v>
      </c>
      <c r="B112" s="1" t="s">
        <v>274</v>
      </c>
      <c r="C112" s="1" t="s">
        <v>239</v>
      </c>
      <c r="D112" s="1" t="s">
        <v>220</v>
      </c>
      <c r="E112" s="1" t="s">
        <v>85</v>
      </c>
      <c r="F112" s="1" t="s">
        <v>230</v>
      </c>
      <c r="G112" s="1" t="s">
        <v>231</v>
      </c>
      <c r="H112" s="1" t="s">
        <v>234</v>
      </c>
      <c r="I112" s="1">
        <v>1</v>
      </c>
      <c r="J112" s="1">
        <v>18160</v>
      </c>
      <c r="K112" s="1">
        <v>18160</v>
      </c>
      <c r="L112" s="1" t="s">
        <v>240</v>
      </c>
      <c r="M112" s="1">
        <v>0</v>
      </c>
      <c r="N112" s="1">
        <v>5080</v>
      </c>
    </row>
    <row r="113" spans="1:14" x14ac:dyDescent="0.25">
      <c r="A113" s="1">
        <v>1112</v>
      </c>
      <c r="B113" s="1" t="s">
        <v>274</v>
      </c>
      <c r="C113" s="1" t="s">
        <v>239</v>
      </c>
      <c r="D113" s="1" t="s">
        <v>232</v>
      </c>
      <c r="E113" s="1" t="s">
        <v>233</v>
      </c>
      <c r="F113" s="1" t="s">
        <v>230</v>
      </c>
      <c r="G113" s="1" t="s">
        <v>242</v>
      </c>
      <c r="H113" s="1" t="s">
        <v>128</v>
      </c>
      <c r="I113" s="1">
        <v>3</v>
      </c>
      <c r="J113" s="1">
        <v>12407</v>
      </c>
      <c r="K113" s="1">
        <v>33498.9</v>
      </c>
      <c r="L113" s="1" t="s">
        <v>218</v>
      </c>
      <c r="M113" s="1">
        <v>10</v>
      </c>
      <c r="N113" s="1">
        <v>5183.22</v>
      </c>
    </row>
    <row r="114" spans="1:14" x14ac:dyDescent="0.25">
      <c r="A114" s="1">
        <v>1113</v>
      </c>
      <c r="B114" s="1" t="s">
        <v>275</v>
      </c>
      <c r="C114" s="1" t="s">
        <v>239</v>
      </c>
      <c r="D114" s="1" t="s">
        <v>220</v>
      </c>
      <c r="E114" s="1" t="s">
        <v>85</v>
      </c>
      <c r="F114" s="1" t="s">
        <v>225</v>
      </c>
      <c r="G114" s="1" t="s">
        <v>226</v>
      </c>
      <c r="H114" s="1" t="s">
        <v>234</v>
      </c>
      <c r="I114" s="1">
        <v>5</v>
      </c>
      <c r="J114" s="1">
        <v>34858</v>
      </c>
      <c r="K114" s="1">
        <v>148146.5</v>
      </c>
      <c r="L114" s="1" t="s">
        <v>218</v>
      </c>
      <c r="M114" s="1">
        <v>15</v>
      </c>
      <c r="N114" s="1">
        <v>41424.839999999997</v>
      </c>
    </row>
    <row r="115" spans="1:14" x14ac:dyDescent="0.25">
      <c r="A115" s="1">
        <v>1114</v>
      </c>
      <c r="B115" s="1" t="s">
        <v>275</v>
      </c>
      <c r="C115" s="1" t="s">
        <v>239</v>
      </c>
      <c r="D115" s="1" t="s">
        <v>220</v>
      </c>
      <c r="E115" s="1" t="s">
        <v>85</v>
      </c>
      <c r="F115" s="1" t="s">
        <v>225</v>
      </c>
      <c r="G115" s="1" t="s">
        <v>226</v>
      </c>
      <c r="H115" s="1" t="s">
        <v>221</v>
      </c>
      <c r="I115" s="1">
        <v>1</v>
      </c>
      <c r="J115" s="1">
        <v>26511</v>
      </c>
      <c r="K115" s="1">
        <v>22534.35</v>
      </c>
      <c r="L115" s="1" t="s">
        <v>222</v>
      </c>
      <c r="M115" s="1">
        <v>15</v>
      </c>
      <c r="N115" s="1">
        <v>3410.69</v>
      </c>
    </row>
    <row r="116" spans="1:14" x14ac:dyDescent="0.25">
      <c r="A116" s="1">
        <v>1115</v>
      </c>
      <c r="B116" s="1" t="s">
        <v>275</v>
      </c>
      <c r="C116" s="1" t="s">
        <v>239</v>
      </c>
      <c r="D116" s="1" t="s">
        <v>220</v>
      </c>
      <c r="E116" s="1" t="s">
        <v>85</v>
      </c>
      <c r="F116" s="1" t="s">
        <v>225</v>
      </c>
      <c r="G116" s="1" t="s">
        <v>248</v>
      </c>
      <c r="H116" s="1" t="s">
        <v>221</v>
      </c>
      <c r="I116" s="1">
        <v>2</v>
      </c>
      <c r="J116" s="1">
        <v>20545</v>
      </c>
      <c r="K116" s="1">
        <v>34926.5</v>
      </c>
      <c r="L116" s="1" t="s">
        <v>227</v>
      </c>
      <c r="M116" s="1">
        <v>15</v>
      </c>
      <c r="N116" s="1">
        <v>6368.53</v>
      </c>
    </row>
    <row r="117" spans="1:14" x14ac:dyDescent="0.25">
      <c r="A117" s="1">
        <v>1116</v>
      </c>
      <c r="B117" s="1" t="s">
        <v>275</v>
      </c>
      <c r="C117" s="1" t="s">
        <v>213</v>
      </c>
      <c r="D117" s="1" t="s">
        <v>245</v>
      </c>
      <c r="E117" s="1" t="s">
        <v>124</v>
      </c>
      <c r="F117" s="1" t="s">
        <v>215</v>
      </c>
      <c r="G117" s="1" t="s">
        <v>216</v>
      </c>
      <c r="H117" s="1" t="s">
        <v>221</v>
      </c>
      <c r="I117" s="1">
        <v>1</v>
      </c>
      <c r="J117" s="1">
        <v>12036</v>
      </c>
      <c r="K117" s="1">
        <v>11434.2</v>
      </c>
      <c r="L117" s="1" t="s">
        <v>227</v>
      </c>
      <c r="M117" s="1">
        <v>5</v>
      </c>
      <c r="N117" s="1">
        <v>2771.42</v>
      </c>
    </row>
    <row r="118" spans="1:14" x14ac:dyDescent="0.25">
      <c r="A118" s="1">
        <v>1117</v>
      </c>
      <c r="B118" s="1" t="s">
        <v>276</v>
      </c>
      <c r="C118" s="1" t="s">
        <v>223</v>
      </c>
      <c r="D118" s="1" t="s">
        <v>232</v>
      </c>
      <c r="E118" s="1" t="s">
        <v>233</v>
      </c>
      <c r="F118" s="1" t="s">
        <v>230</v>
      </c>
      <c r="G118" s="1" t="s">
        <v>241</v>
      </c>
      <c r="H118" s="1" t="s">
        <v>234</v>
      </c>
      <c r="I118" s="1">
        <v>5</v>
      </c>
      <c r="J118" s="1">
        <v>3008</v>
      </c>
      <c r="K118" s="1">
        <v>12784</v>
      </c>
      <c r="L118" s="1" t="s">
        <v>240</v>
      </c>
      <c r="M118" s="1">
        <v>15</v>
      </c>
      <c r="N118" s="1">
        <v>2048.12</v>
      </c>
    </row>
    <row r="119" spans="1:14" x14ac:dyDescent="0.25">
      <c r="A119" s="1">
        <v>1118</v>
      </c>
      <c r="B119" s="1" t="s">
        <v>276</v>
      </c>
      <c r="C119" s="1" t="s">
        <v>213</v>
      </c>
      <c r="D119" s="1" t="s">
        <v>232</v>
      </c>
      <c r="E119" s="1" t="s">
        <v>233</v>
      </c>
      <c r="F119" s="1" t="s">
        <v>225</v>
      </c>
      <c r="G119" s="1" t="s">
        <v>248</v>
      </c>
      <c r="H119" s="1" t="s">
        <v>217</v>
      </c>
      <c r="I119" s="1">
        <v>1</v>
      </c>
      <c r="J119" s="1">
        <v>26490</v>
      </c>
      <c r="K119" s="1">
        <v>23841</v>
      </c>
      <c r="L119" s="1" t="s">
        <v>240</v>
      </c>
      <c r="M119" s="1">
        <v>10</v>
      </c>
      <c r="N119" s="1">
        <v>4063.84</v>
      </c>
    </row>
    <row r="120" spans="1:14" x14ac:dyDescent="0.25">
      <c r="A120" s="1">
        <v>1119</v>
      </c>
      <c r="B120" s="1" t="s">
        <v>276</v>
      </c>
      <c r="C120" s="1" t="s">
        <v>229</v>
      </c>
      <c r="D120" s="1" t="s">
        <v>214</v>
      </c>
      <c r="E120" s="1" t="s">
        <v>124</v>
      </c>
      <c r="F120" s="1" t="s">
        <v>230</v>
      </c>
      <c r="G120" s="1" t="s">
        <v>231</v>
      </c>
      <c r="H120" s="1" t="s">
        <v>217</v>
      </c>
      <c r="I120" s="1">
        <v>3</v>
      </c>
      <c r="J120" s="1">
        <v>11973</v>
      </c>
      <c r="K120" s="1">
        <v>34123.050000000003</v>
      </c>
      <c r="L120" s="1" t="s">
        <v>222</v>
      </c>
      <c r="M120" s="1">
        <v>5</v>
      </c>
      <c r="N120" s="1">
        <v>5277.43</v>
      </c>
    </row>
    <row r="121" spans="1:14" x14ac:dyDescent="0.25">
      <c r="A121" s="1">
        <v>1120</v>
      </c>
      <c r="B121" s="1" t="s">
        <v>276</v>
      </c>
      <c r="C121" s="1" t="s">
        <v>213</v>
      </c>
      <c r="D121" s="1" t="s">
        <v>245</v>
      </c>
      <c r="E121" s="1" t="s">
        <v>124</v>
      </c>
      <c r="F121" s="1" t="s">
        <v>230</v>
      </c>
      <c r="G121" s="1" t="s">
        <v>242</v>
      </c>
      <c r="H121" s="1" t="s">
        <v>221</v>
      </c>
      <c r="I121" s="1">
        <v>2</v>
      </c>
      <c r="J121" s="1">
        <v>36651</v>
      </c>
      <c r="K121" s="1">
        <v>69636.899999999994</v>
      </c>
      <c r="L121" s="1" t="s">
        <v>222</v>
      </c>
      <c r="M121" s="1">
        <v>5</v>
      </c>
      <c r="N121" s="1">
        <v>15941.5</v>
      </c>
    </row>
    <row r="122" spans="1:14" x14ac:dyDescent="0.25">
      <c r="A122" s="1">
        <v>1121</v>
      </c>
      <c r="B122" s="1" t="s">
        <v>276</v>
      </c>
      <c r="C122" s="1" t="s">
        <v>213</v>
      </c>
      <c r="D122" s="1" t="s">
        <v>224</v>
      </c>
      <c r="E122" s="1" t="s">
        <v>233</v>
      </c>
      <c r="F122" s="1" t="s">
        <v>215</v>
      </c>
      <c r="G122" s="1" t="s">
        <v>244</v>
      </c>
      <c r="H122" s="1" t="s">
        <v>128</v>
      </c>
      <c r="I122" s="1">
        <v>1</v>
      </c>
      <c r="J122" s="1">
        <v>3379</v>
      </c>
      <c r="K122" s="1">
        <v>3210.05</v>
      </c>
      <c r="L122" s="1" t="s">
        <v>240</v>
      </c>
      <c r="M122" s="1">
        <v>5</v>
      </c>
      <c r="N122" s="1">
        <v>325.55</v>
      </c>
    </row>
    <row r="123" spans="1:14" x14ac:dyDescent="0.25">
      <c r="A123" s="1">
        <v>1122</v>
      </c>
      <c r="B123" s="1" t="s">
        <v>277</v>
      </c>
      <c r="C123" s="1" t="s">
        <v>239</v>
      </c>
      <c r="D123" s="1" t="s">
        <v>245</v>
      </c>
      <c r="E123" s="1" t="s">
        <v>124</v>
      </c>
      <c r="F123" s="1" t="s">
        <v>215</v>
      </c>
      <c r="G123" s="1" t="s">
        <v>246</v>
      </c>
      <c r="H123" s="1" t="s">
        <v>221</v>
      </c>
      <c r="I123" s="1">
        <v>2</v>
      </c>
      <c r="J123" s="1">
        <v>46057</v>
      </c>
      <c r="K123" s="1">
        <v>78296.899999999994</v>
      </c>
      <c r="L123" s="1" t="s">
        <v>222</v>
      </c>
      <c r="M123" s="1">
        <v>15</v>
      </c>
      <c r="N123" s="1">
        <v>14380.27</v>
      </c>
    </row>
    <row r="124" spans="1:14" x14ac:dyDescent="0.25">
      <c r="A124" s="1">
        <v>1123</v>
      </c>
      <c r="B124" s="1" t="s">
        <v>277</v>
      </c>
      <c r="C124" s="1" t="s">
        <v>219</v>
      </c>
      <c r="D124" s="1" t="s">
        <v>232</v>
      </c>
      <c r="E124" s="1" t="s">
        <v>233</v>
      </c>
      <c r="F124" s="1" t="s">
        <v>225</v>
      </c>
      <c r="G124" s="1" t="s">
        <v>226</v>
      </c>
      <c r="H124" s="1" t="s">
        <v>221</v>
      </c>
      <c r="I124" s="1">
        <v>1</v>
      </c>
      <c r="J124" s="1">
        <v>33848</v>
      </c>
      <c r="K124" s="1">
        <v>28770.799999999999</v>
      </c>
      <c r="L124" s="1" t="s">
        <v>222</v>
      </c>
      <c r="M124" s="1">
        <v>15</v>
      </c>
      <c r="N124" s="1">
        <v>7921.53</v>
      </c>
    </row>
    <row r="125" spans="1:14" x14ac:dyDescent="0.25">
      <c r="A125" s="1">
        <v>1124</v>
      </c>
      <c r="B125" s="1" t="s">
        <v>277</v>
      </c>
      <c r="C125" s="1" t="s">
        <v>213</v>
      </c>
      <c r="D125" s="1" t="s">
        <v>232</v>
      </c>
      <c r="E125" s="1" t="s">
        <v>233</v>
      </c>
      <c r="F125" s="1" t="s">
        <v>225</v>
      </c>
      <c r="G125" s="1" t="s">
        <v>248</v>
      </c>
      <c r="H125" s="1" t="s">
        <v>221</v>
      </c>
      <c r="I125" s="1">
        <v>2</v>
      </c>
      <c r="J125" s="1">
        <v>16254</v>
      </c>
      <c r="K125" s="1">
        <v>32508</v>
      </c>
      <c r="L125" s="1" t="s">
        <v>227</v>
      </c>
      <c r="M125" s="1">
        <v>0</v>
      </c>
      <c r="N125" s="1">
        <v>5387.48</v>
      </c>
    </row>
    <row r="126" spans="1:14" x14ac:dyDescent="0.25">
      <c r="A126" s="1">
        <v>1125</v>
      </c>
      <c r="B126" s="1" t="s">
        <v>277</v>
      </c>
      <c r="C126" s="1" t="s">
        <v>219</v>
      </c>
      <c r="D126" s="1" t="s">
        <v>214</v>
      </c>
      <c r="E126" s="1" t="s">
        <v>124</v>
      </c>
      <c r="F126" s="1" t="s">
        <v>215</v>
      </c>
      <c r="G126" s="1" t="s">
        <v>246</v>
      </c>
      <c r="H126" s="1" t="s">
        <v>234</v>
      </c>
      <c r="I126" s="1">
        <v>3</v>
      </c>
      <c r="J126" s="1">
        <v>35739</v>
      </c>
      <c r="K126" s="1">
        <v>107217</v>
      </c>
      <c r="L126" s="1" t="s">
        <v>240</v>
      </c>
      <c r="M126" s="1">
        <v>0</v>
      </c>
      <c r="N126" s="1">
        <v>13764.22</v>
      </c>
    </row>
    <row r="127" spans="1:14" x14ac:dyDescent="0.25">
      <c r="A127" s="1">
        <v>1126</v>
      </c>
      <c r="B127" s="1" t="s">
        <v>277</v>
      </c>
      <c r="C127" s="1" t="s">
        <v>213</v>
      </c>
      <c r="D127" s="1" t="s">
        <v>220</v>
      </c>
      <c r="E127" s="1" t="s">
        <v>85</v>
      </c>
      <c r="F127" s="1" t="s">
        <v>230</v>
      </c>
      <c r="G127" s="1" t="s">
        <v>242</v>
      </c>
      <c r="H127" s="1" t="s">
        <v>128</v>
      </c>
      <c r="I127" s="1">
        <v>2</v>
      </c>
      <c r="J127" s="1">
        <v>13876</v>
      </c>
      <c r="K127" s="1">
        <v>27752</v>
      </c>
      <c r="L127" s="1" t="s">
        <v>240</v>
      </c>
      <c r="M127" s="1">
        <v>0</v>
      </c>
      <c r="N127" s="1">
        <v>6332.09</v>
      </c>
    </row>
    <row r="128" spans="1:14" x14ac:dyDescent="0.25">
      <c r="A128" s="1">
        <v>1127</v>
      </c>
      <c r="B128" s="1" t="s">
        <v>278</v>
      </c>
      <c r="C128" s="1" t="s">
        <v>219</v>
      </c>
      <c r="D128" s="1" t="s">
        <v>220</v>
      </c>
      <c r="E128" s="1" t="s">
        <v>85</v>
      </c>
      <c r="F128" s="1" t="s">
        <v>230</v>
      </c>
      <c r="G128" s="1" t="s">
        <v>241</v>
      </c>
      <c r="H128" s="1" t="s">
        <v>234</v>
      </c>
      <c r="I128" s="1">
        <v>3</v>
      </c>
      <c r="J128" s="1">
        <v>20120</v>
      </c>
      <c r="K128" s="1">
        <v>54324</v>
      </c>
      <c r="L128" s="1" t="s">
        <v>227</v>
      </c>
      <c r="M128" s="1">
        <v>10</v>
      </c>
      <c r="N128" s="1">
        <v>15353.64</v>
      </c>
    </row>
    <row r="129" spans="1:14" x14ac:dyDescent="0.25">
      <c r="A129" s="1">
        <v>1128</v>
      </c>
      <c r="B129" s="1" t="s">
        <v>278</v>
      </c>
      <c r="C129" s="1" t="s">
        <v>223</v>
      </c>
      <c r="D129" s="1" t="s">
        <v>232</v>
      </c>
      <c r="E129" s="1" t="s">
        <v>233</v>
      </c>
      <c r="F129" s="1" t="s">
        <v>230</v>
      </c>
      <c r="G129" s="1" t="s">
        <v>241</v>
      </c>
      <c r="H129" s="1" t="s">
        <v>128</v>
      </c>
      <c r="I129" s="1">
        <v>3</v>
      </c>
      <c r="J129" s="1">
        <v>25420</v>
      </c>
      <c r="K129" s="1">
        <v>68634</v>
      </c>
      <c r="L129" s="1" t="s">
        <v>240</v>
      </c>
      <c r="M129" s="1">
        <v>10</v>
      </c>
      <c r="N129" s="1">
        <v>10167.1</v>
      </c>
    </row>
    <row r="130" spans="1:14" x14ac:dyDescent="0.25">
      <c r="A130" s="1">
        <v>1129</v>
      </c>
      <c r="B130" s="1" t="s">
        <v>279</v>
      </c>
      <c r="C130" s="1" t="s">
        <v>223</v>
      </c>
      <c r="D130" s="1" t="s">
        <v>220</v>
      </c>
      <c r="E130" s="1" t="s">
        <v>85</v>
      </c>
      <c r="F130" s="1" t="s">
        <v>215</v>
      </c>
      <c r="G130" s="1" t="s">
        <v>216</v>
      </c>
      <c r="H130" s="1" t="s">
        <v>234</v>
      </c>
      <c r="I130" s="1">
        <v>1</v>
      </c>
      <c r="J130" s="1">
        <v>39014</v>
      </c>
      <c r="K130" s="1">
        <v>37063.300000000003</v>
      </c>
      <c r="L130" s="1" t="s">
        <v>222</v>
      </c>
      <c r="M130" s="1">
        <v>5</v>
      </c>
      <c r="N130" s="1">
        <v>6471.59</v>
      </c>
    </row>
    <row r="131" spans="1:14" x14ac:dyDescent="0.25">
      <c r="A131" s="1">
        <v>1130</v>
      </c>
      <c r="B131" s="1" t="s">
        <v>279</v>
      </c>
      <c r="C131" s="1" t="s">
        <v>223</v>
      </c>
      <c r="D131" s="1" t="s">
        <v>224</v>
      </c>
      <c r="E131" s="1" t="s">
        <v>233</v>
      </c>
      <c r="F131" s="1" t="s">
        <v>215</v>
      </c>
      <c r="G131" s="1" t="s">
        <v>244</v>
      </c>
      <c r="H131" s="1" t="s">
        <v>217</v>
      </c>
      <c r="I131" s="1">
        <v>3</v>
      </c>
      <c r="J131" s="1">
        <v>35814</v>
      </c>
      <c r="K131" s="1">
        <v>91325.7</v>
      </c>
      <c r="L131" s="1" t="s">
        <v>222</v>
      </c>
      <c r="M131" s="1">
        <v>15</v>
      </c>
      <c r="N131" s="1">
        <v>24971.52</v>
      </c>
    </row>
    <row r="132" spans="1:14" x14ac:dyDescent="0.25">
      <c r="A132" s="1">
        <v>1131</v>
      </c>
      <c r="B132" s="1" t="s">
        <v>279</v>
      </c>
      <c r="C132" s="1" t="s">
        <v>239</v>
      </c>
      <c r="D132" s="1" t="s">
        <v>224</v>
      </c>
      <c r="E132" s="1" t="s">
        <v>233</v>
      </c>
      <c r="F132" s="1" t="s">
        <v>225</v>
      </c>
      <c r="G132" s="1" t="s">
        <v>248</v>
      </c>
      <c r="H132" s="1" t="s">
        <v>217</v>
      </c>
      <c r="I132" s="1">
        <v>1</v>
      </c>
      <c r="J132" s="1">
        <v>14453</v>
      </c>
      <c r="K132" s="1">
        <v>12285.05</v>
      </c>
      <c r="L132" s="1" t="s">
        <v>227</v>
      </c>
      <c r="M132" s="1">
        <v>15</v>
      </c>
      <c r="N132" s="1">
        <v>2129.42</v>
      </c>
    </row>
    <row r="133" spans="1:14" x14ac:dyDescent="0.25">
      <c r="A133" s="1">
        <v>1132</v>
      </c>
      <c r="B133" s="1" t="s">
        <v>279</v>
      </c>
      <c r="C133" s="1" t="s">
        <v>223</v>
      </c>
      <c r="D133" s="1" t="s">
        <v>214</v>
      </c>
      <c r="E133" s="1" t="s">
        <v>124</v>
      </c>
      <c r="F133" s="1" t="s">
        <v>225</v>
      </c>
      <c r="G133" s="1" t="s">
        <v>226</v>
      </c>
      <c r="H133" s="1" t="s">
        <v>221</v>
      </c>
      <c r="I133" s="1">
        <v>4</v>
      </c>
      <c r="J133" s="1">
        <v>16217</v>
      </c>
      <c r="K133" s="1">
        <v>55137.8</v>
      </c>
      <c r="L133" s="1" t="s">
        <v>227</v>
      </c>
      <c r="M133" s="1">
        <v>15</v>
      </c>
      <c r="N133" s="1">
        <v>14835.25</v>
      </c>
    </row>
    <row r="134" spans="1:14" x14ac:dyDescent="0.25">
      <c r="A134" s="1">
        <v>1133</v>
      </c>
      <c r="B134" s="1" t="s">
        <v>280</v>
      </c>
      <c r="C134" s="1" t="s">
        <v>219</v>
      </c>
      <c r="D134" s="1" t="s">
        <v>232</v>
      </c>
      <c r="E134" s="1" t="s">
        <v>233</v>
      </c>
      <c r="F134" s="1" t="s">
        <v>225</v>
      </c>
      <c r="G134" s="1" t="s">
        <v>248</v>
      </c>
      <c r="H134" s="1" t="s">
        <v>217</v>
      </c>
      <c r="I134" s="1">
        <v>2</v>
      </c>
      <c r="J134" s="1">
        <v>14123</v>
      </c>
      <c r="K134" s="1">
        <v>25421.4</v>
      </c>
      <c r="L134" s="1" t="s">
        <v>240</v>
      </c>
      <c r="M134" s="1">
        <v>10</v>
      </c>
      <c r="N134" s="1">
        <v>7479.03</v>
      </c>
    </row>
    <row r="135" spans="1:14" x14ac:dyDescent="0.25">
      <c r="A135" s="1">
        <v>1134</v>
      </c>
      <c r="B135" s="1" t="s">
        <v>280</v>
      </c>
      <c r="C135" s="1" t="s">
        <v>219</v>
      </c>
      <c r="D135" s="1" t="s">
        <v>245</v>
      </c>
      <c r="E135" s="1" t="s">
        <v>124</v>
      </c>
      <c r="F135" s="1" t="s">
        <v>225</v>
      </c>
      <c r="G135" s="1" t="s">
        <v>248</v>
      </c>
      <c r="H135" s="1" t="s">
        <v>128</v>
      </c>
      <c r="I135" s="1">
        <v>4</v>
      </c>
      <c r="J135" s="1">
        <v>48257</v>
      </c>
      <c r="K135" s="1">
        <v>164073.79999999999</v>
      </c>
      <c r="L135" s="1" t="s">
        <v>227</v>
      </c>
      <c r="M135" s="1">
        <v>15</v>
      </c>
      <c r="N135" s="1">
        <v>21827.53</v>
      </c>
    </row>
    <row r="136" spans="1:14" x14ac:dyDescent="0.25">
      <c r="A136" s="1">
        <v>1135</v>
      </c>
      <c r="B136" s="1" t="s">
        <v>280</v>
      </c>
      <c r="C136" s="1" t="s">
        <v>239</v>
      </c>
      <c r="D136" s="1" t="s">
        <v>214</v>
      </c>
      <c r="E136" s="1" t="s">
        <v>124</v>
      </c>
      <c r="F136" s="1" t="s">
        <v>225</v>
      </c>
      <c r="G136" s="1" t="s">
        <v>236</v>
      </c>
      <c r="H136" s="1" t="s">
        <v>234</v>
      </c>
      <c r="I136" s="1">
        <v>2</v>
      </c>
      <c r="J136" s="1">
        <v>20783</v>
      </c>
      <c r="K136" s="1">
        <v>37409.4</v>
      </c>
      <c r="L136" s="1" t="s">
        <v>222</v>
      </c>
      <c r="M136" s="1">
        <v>10</v>
      </c>
      <c r="N136" s="1">
        <v>7422.77</v>
      </c>
    </row>
    <row r="137" spans="1:14" x14ac:dyDescent="0.25">
      <c r="A137" s="1">
        <v>1136</v>
      </c>
      <c r="B137" s="1" t="s">
        <v>280</v>
      </c>
      <c r="C137" s="1" t="s">
        <v>239</v>
      </c>
      <c r="D137" s="1" t="s">
        <v>220</v>
      </c>
      <c r="E137" s="1" t="s">
        <v>85</v>
      </c>
      <c r="F137" s="1" t="s">
        <v>215</v>
      </c>
      <c r="G137" s="1" t="s">
        <v>244</v>
      </c>
      <c r="H137" s="1" t="s">
        <v>221</v>
      </c>
      <c r="I137" s="1">
        <v>4</v>
      </c>
      <c r="J137" s="1">
        <v>31080</v>
      </c>
      <c r="K137" s="1">
        <v>111888</v>
      </c>
      <c r="L137" s="1" t="s">
        <v>218</v>
      </c>
      <c r="M137" s="1">
        <v>10</v>
      </c>
      <c r="N137" s="1">
        <v>16184.9</v>
      </c>
    </row>
    <row r="138" spans="1:14" x14ac:dyDescent="0.25">
      <c r="A138" s="1">
        <v>1137</v>
      </c>
      <c r="B138" s="1" t="s">
        <v>281</v>
      </c>
      <c r="C138" s="1" t="s">
        <v>223</v>
      </c>
      <c r="D138" s="1" t="s">
        <v>232</v>
      </c>
      <c r="E138" s="1" t="s">
        <v>233</v>
      </c>
      <c r="F138" s="1" t="s">
        <v>230</v>
      </c>
      <c r="G138" s="1" t="s">
        <v>231</v>
      </c>
      <c r="H138" s="1" t="s">
        <v>234</v>
      </c>
      <c r="I138" s="1">
        <v>1</v>
      </c>
      <c r="J138" s="1">
        <v>48283</v>
      </c>
      <c r="K138" s="1">
        <v>41040.550000000003</v>
      </c>
      <c r="L138" s="1" t="s">
        <v>222</v>
      </c>
      <c r="M138" s="1">
        <v>15</v>
      </c>
      <c r="N138" s="1">
        <v>9900.48</v>
      </c>
    </row>
    <row r="139" spans="1:14" x14ac:dyDescent="0.25">
      <c r="A139" s="1">
        <v>1138</v>
      </c>
      <c r="B139" s="1" t="s">
        <v>281</v>
      </c>
      <c r="C139" s="1" t="s">
        <v>213</v>
      </c>
      <c r="D139" s="1" t="s">
        <v>220</v>
      </c>
      <c r="E139" s="1" t="s">
        <v>85</v>
      </c>
      <c r="F139" s="1" t="s">
        <v>215</v>
      </c>
      <c r="G139" s="1" t="s">
        <v>244</v>
      </c>
      <c r="H139" s="1" t="s">
        <v>234</v>
      </c>
      <c r="I139" s="1">
        <v>3</v>
      </c>
      <c r="J139" s="1">
        <v>9215</v>
      </c>
      <c r="K139" s="1">
        <v>24880.5</v>
      </c>
      <c r="L139" s="1" t="s">
        <v>218</v>
      </c>
      <c r="M139" s="1">
        <v>10</v>
      </c>
      <c r="N139" s="1">
        <v>4932.97</v>
      </c>
    </row>
    <row r="140" spans="1:14" x14ac:dyDescent="0.25">
      <c r="A140" s="1">
        <v>1139</v>
      </c>
      <c r="B140" s="1" t="s">
        <v>282</v>
      </c>
      <c r="C140" s="1" t="s">
        <v>223</v>
      </c>
      <c r="D140" s="1" t="s">
        <v>232</v>
      </c>
      <c r="E140" s="1" t="s">
        <v>233</v>
      </c>
      <c r="F140" s="1" t="s">
        <v>215</v>
      </c>
      <c r="G140" s="1" t="s">
        <v>216</v>
      </c>
      <c r="H140" s="1" t="s">
        <v>128</v>
      </c>
      <c r="I140" s="1">
        <v>1</v>
      </c>
      <c r="J140" s="1">
        <v>29279</v>
      </c>
      <c r="K140" s="1">
        <v>27815.05</v>
      </c>
      <c r="L140" s="1" t="s">
        <v>222</v>
      </c>
      <c r="M140" s="1">
        <v>5</v>
      </c>
      <c r="N140" s="1">
        <v>3982.97</v>
      </c>
    </row>
    <row r="141" spans="1:14" x14ac:dyDescent="0.25">
      <c r="A141" s="1">
        <v>1140</v>
      </c>
      <c r="B141" s="1" t="s">
        <v>282</v>
      </c>
      <c r="C141" s="1" t="s">
        <v>229</v>
      </c>
      <c r="D141" s="1" t="s">
        <v>214</v>
      </c>
      <c r="E141" s="1" t="s">
        <v>124</v>
      </c>
      <c r="F141" s="1" t="s">
        <v>225</v>
      </c>
      <c r="G141" s="1" t="s">
        <v>226</v>
      </c>
      <c r="H141" s="1" t="s">
        <v>128</v>
      </c>
      <c r="I141" s="1">
        <v>2</v>
      </c>
      <c r="J141" s="1">
        <v>7050</v>
      </c>
      <c r="K141" s="1">
        <v>14100</v>
      </c>
      <c r="L141" s="1" t="s">
        <v>218</v>
      </c>
      <c r="M141" s="1">
        <v>0</v>
      </c>
      <c r="N141" s="1">
        <v>4082.48</v>
      </c>
    </row>
    <row r="142" spans="1:14" x14ac:dyDescent="0.25">
      <c r="A142" s="1">
        <v>1141</v>
      </c>
      <c r="B142" s="1" t="s">
        <v>282</v>
      </c>
      <c r="C142" s="1" t="s">
        <v>239</v>
      </c>
      <c r="D142" s="1" t="s">
        <v>224</v>
      </c>
      <c r="E142" s="1" t="s">
        <v>233</v>
      </c>
      <c r="F142" s="1" t="s">
        <v>215</v>
      </c>
      <c r="G142" s="1" t="s">
        <v>246</v>
      </c>
      <c r="H142" s="1" t="s">
        <v>217</v>
      </c>
      <c r="I142" s="1">
        <v>4</v>
      </c>
      <c r="J142" s="1">
        <v>9063</v>
      </c>
      <c r="K142" s="1">
        <v>34439.4</v>
      </c>
      <c r="L142" s="1" t="s">
        <v>222</v>
      </c>
      <c r="M142" s="1">
        <v>5</v>
      </c>
      <c r="N142" s="1">
        <v>5545.36</v>
      </c>
    </row>
    <row r="143" spans="1:14" x14ac:dyDescent="0.25">
      <c r="A143" s="1">
        <v>1142</v>
      </c>
      <c r="B143" s="1" t="s">
        <v>282</v>
      </c>
      <c r="C143" s="1" t="s">
        <v>223</v>
      </c>
      <c r="D143" s="1" t="s">
        <v>220</v>
      </c>
      <c r="E143" s="1" t="s">
        <v>85</v>
      </c>
      <c r="F143" s="1" t="s">
        <v>215</v>
      </c>
      <c r="G143" s="1" t="s">
        <v>246</v>
      </c>
      <c r="H143" s="1" t="s">
        <v>234</v>
      </c>
      <c r="I143" s="1">
        <v>4</v>
      </c>
      <c r="J143" s="1">
        <v>33280</v>
      </c>
      <c r="K143" s="1">
        <v>119808</v>
      </c>
      <c r="L143" s="1" t="s">
        <v>222</v>
      </c>
      <c r="M143" s="1">
        <v>10</v>
      </c>
      <c r="N143" s="1">
        <v>32910.49</v>
      </c>
    </row>
    <row r="144" spans="1:14" x14ac:dyDescent="0.25">
      <c r="A144" s="1">
        <v>1143</v>
      </c>
      <c r="B144" s="1" t="s">
        <v>282</v>
      </c>
      <c r="C144" s="1" t="s">
        <v>229</v>
      </c>
      <c r="D144" s="1" t="s">
        <v>224</v>
      </c>
      <c r="E144" s="1" t="s">
        <v>233</v>
      </c>
      <c r="F144" s="1" t="s">
        <v>215</v>
      </c>
      <c r="G144" s="1" t="s">
        <v>244</v>
      </c>
      <c r="H144" s="1" t="s">
        <v>234</v>
      </c>
      <c r="I144" s="1">
        <v>1</v>
      </c>
      <c r="J144" s="1">
        <v>19907</v>
      </c>
      <c r="K144" s="1">
        <v>17916.3</v>
      </c>
      <c r="L144" s="1" t="s">
        <v>240</v>
      </c>
      <c r="M144" s="1">
        <v>10</v>
      </c>
      <c r="N144" s="1">
        <v>4838.12</v>
      </c>
    </row>
    <row r="145" spans="1:14" x14ac:dyDescent="0.25">
      <c r="A145" s="1">
        <v>1144</v>
      </c>
      <c r="B145" s="1" t="s">
        <v>283</v>
      </c>
      <c r="C145" s="1" t="s">
        <v>229</v>
      </c>
      <c r="D145" s="1" t="s">
        <v>245</v>
      </c>
      <c r="E145" s="1" t="s">
        <v>124</v>
      </c>
      <c r="F145" s="1" t="s">
        <v>215</v>
      </c>
      <c r="G145" s="1" t="s">
        <v>216</v>
      </c>
      <c r="H145" s="1" t="s">
        <v>128</v>
      </c>
      <c r="I145" s="1">
        <v>4</v>
      </c>
      <c r="J145" s="1">
        <v>29246</v>
      </c>
      <c r="K145" s="1">
        <v>116984</v>
      </c>
      <c r="L145" s="1" t="s">
        <v>240</v>
      </c>
      <c r="M145" s="1">
        <v>0</v>
      </c>
      <c r="N145" s="1">
        <v>24786.42</v>
      </c>
    </row>
    <row r="146" spans="1:14" x14ac:dyDescent="0.25">
      <c r="A146" s="1">
        <v>1145</v>
      </c>
      <c r="B146" s="1" t="s">
        <v>283</v>
      </c>
      <c r="C146" s="1" t="s">
        <v>223</v>
      </c>
      <c r="D146" s="1" t="s">
        <v>220</v>
      </c>
      <c r="E146" s="1" t="s">
        <v>85</v>
      </c>
      <c r="F146" s="1" t="s">
        <v>225</v>
      </c>
      <c r="G146" s="1" t="s">
        <v>236</v>
      </c>
      <c r="H146" s="1" t="s">
        <v>221</v>
      </c>
      <c r="I146" s="1">
        <v>2</v>
      </c>
      <c r="J146" s="1">
        <v>6842</v>
      </c>
      <c r="K146" s="1">
        <v>12315.6</v>
      </c>
      <c r="L146" s="1" t="s">
        <v>222</v>
      </c>
      <c r="M146" s="1">
        <v>10</v>
      </c>
      <c r="N146" s="1">
        <v>1800.24</v>
      </c>
    </row>
    <row r="147" spans="1:14" x14ac:dyDescent="0.25">
      <c r="A147" s="1">
        <v>1146</v>
      </c>
      <c r="B147" s="1" t="s">
        <v>283</v>
      </c>
      <c r="C147" s="1" t="s">
        <v>229</v>
      </c>
      <c r="D147" s="1" t="s">
        <v>224</v>
      </c>
      <c r="E147" s="1" t="s">
        <v>233</v>
      </c>
      <c r="F147" s="1" t="s">
        <v>225</v>
      </c>
      <c r="G147" s="1" t="s">
        <v>226</v>
      </c>
      <c r="H147" s="1" t="s">
        <v>221</v>
      </c>
      <c r="I147" s="1">
        <v>2</v>
      </c>
      <c r="J147" s="1">
        <v>4303</v>
      </c>
      <c r="K147" s="1">
        <v>8606</v>
      </c>
      <c r="L147" s="1" t="s">
        <v>240</v>
      </c>
      <c r="M147" s="1">
        <v>0</v>
      </c>
      <c r="N147" s="1">
        <v>1040.0999999999999</v>
      </c>
    </row>
    <row r="148" spans="1:14" x14ac:dyDescent="0.25">
      <c r="A148" s="1">
        <v>1147</v>
      </c>
      <c r="B148" s="1" t="s">
        <v>283</v>
      </c>
      <c r="C148" s="1" t="s">
        <v>239</v>
      </c>
      <c r="D148" s="1" t="s">
        <v>245</v>
      </c>
      <c r="E148" s="1" t="s">
        <v>124</v>
      </c>
      <c r="F148" s="1" t="s">
        <v>215</v>
      </c>
      <c r="G148" s="1" t="s">
        <v>216</v>
      </c>
      <c r="H148" s="1" t="s">
        <v>221</v>
      </c>
      <c r="I148" s="1">
        <v>5</v>
      </c>
      <c r="J148" s="1">
        <v>20306</v>
      </c>
      <c r="K148" s="1">
        <v>91377</v>
      </c>
      <c r="L148" s="1" t="s">
        <v>240</v>
      </c>
      <c r="M148" s="1">
        <v>10</v>
      </c>
      <c r="N148" s="1">
        <v>14470.29</v>
      </c>
    </row>
    <row r="149" spans="1:14" x14ac:dyDescent="0.25">
      <c r="A149" s="1">
        <v>1148</v>
      </c>
      <c r="B149" s="1" t="s">
        <v>283</v>
      </c>
      <c r="C149" s="1" t="s">
        <v>223</v>
      </c>
      <c r="D149" s="1" t="s">
        <v>214</v>
      </c>
      <c r="E149" s="1" t="s">
        <v>124</v>
      </c>
      <c r="F149" s="1" t="s">
        <v>230</v>
      </c>
      <c r="G149" s="1" t="s">
        <v>242</v>
      </c>
      <c r="H149" s="1" t="s">
        <v>217</v>
      </c>
      <c r="I149" s="1">
        <v>4</v>
      </c>
      <c r="J149" s="1">
        <v>48936</v>
      </c>
      <c r="K149" s="1">
        <v>166382.39999999999</v>
      </c>
      <c r="L149" s="1" t="s">
        <v>218</v>
      </c>
      <c r="M149" s="1">
        <v>15</v>
      </c>
      <c r="N149" s="1">
        <v>27284.080000000002</v>
      </c>
    </row>
    <row r="150" spans="1:14" x14ac:dyDescent="0.25">
      <c r="A150" s="1">
        <v>1149</v>
      </c>
      <c r="B150" s="1" t="s">
        <v>284</v>
      </c>
      <c r="C150" s="1" t="s">
        <v>239</v>
      </c>
      <c r="D150" s="1" t="s">
        <v>245</v>
      </c>
      <c r="E150" s="1" t="s">
        <v>124</v>
      </c>
      <c r="F150" s="1" t="s">
        <v>215</v>
      </c>
      <c r="G150" s="1" t="s">
        <v>216</v>
      </c>
      <c r="H150" s="1" t="s">
        <v>221</v>
      </c>
      <c r="I150" s="1">
        <v>5</v>
      </c>
      <c r="J150" s="1">
        <v>26052</v>
      </c>
      <c r="K150" s="1">
        <v>130260</v>
      </c>
      <c r="L150" s="1" t="s">
        <v>222</v>
      </c>
      <c r="M150" s="1">
        <v>0</v>
      </c>
      <c r="N150" s="1">
        <v>24112.81</v>
      </c>
    </row>
    <row r="151" spans="1:14" x14ac:dyDescent="0.25">
      <c r="A151" s="1">
        <v>1150</v>
      </c>
      <c r="B151" s="1" t="s">
        <v>284</v>
      </c>
      <c r="C151" s="1" t="s">
        <v>239</v>
      </c>
      <c r="D151" s="1" t="s">
        <v>245</v>
      </c>
      <c r="E151" s="1" t="s">
        <v>124</v>
      </c>
      <c r="F151" s="1" t="s">
        <v>215</v>
      </c>
      <c r="G151" s="1" t="s">
        <v>246</v>
      </c>
      <c r="H151" s="1" t="s">
        <v>217</v>
      </c>
      <c r="I151" s="1">
        <v>5</v>
      </c>
      <c r="J151" s="1">
        <v>37539</v>
      </c>
      <c r="K151" s="1">
        <v>168925.5</v>
      </c>
      <c r="L151" s="1" t="s">
        <v>240</v>
      </c>
      <c r="M151" s="1">
        <v>10</v>
      </c>
      <c r="N151" s="1">
        <v>34621.35</v>
      </c>
    </row>
    <row r="152" spans="1:14" x14ac:dyDescent="0.25">
      <c r="A152" s="1">
        <v>1151</v>
      </c>
      <c r="B152" s="1" t="s">
        <v>284</v>
      </c>
      <c r="C152" s="1" t="s">
        <v>219</v>
      </c>
      <c r="D152" s="1" t="s">
        <v>214</v>
      </c>
      <c r="E152" s="1" t="s">
        <v>124</v>
      </c>
      <c r="F152" s="1" t="s">
        <v>215</v>
      </c>
      <c r="G152" s="1" t="s">
        <v>244</v>
      </c>
      <c r="H152" s="1" t="s">
        <v>128</v>
      </c>
      <c r="I152" s="1">
        <v>3</v>
      </c>
      <c r="J152" s="1">
        <v>8387</v>
      </c>
      <c r="K152" s="1">
        <v>23902.95</v>
      </c>
      <c r="L152" s="1" t="s">
        <v>227</v>
      </c>
      <c r="M152" s="1">
        <v>5</v>
      </c>
      <c r="N152" s="1">
        <v>5938.24</v>
      </c>
    </row>
    <row r="153" spans="1:14" x14ac:dyDescent="0.25">
      <c r="A153" s="1">
        <v>1152</v>
      </c>
      <c r="B153" s="1" t="s">
        <v>284</v>
      </c>
      <c r="C153" s="1" t="s">
        <v>213</v>
      </c>
      <c r="D153" s="1" t="s">
        <v>245</v>
      </c>
      <c r="E153" s="1" t="s">
        <v>124</v>
      </c>
      <c r="F153" s="1" t="s">
        <v>225</v>
      </c>
      <c r="G153" s="1" t="s">
        <v>226</v>
      </c>
      <c r="H153" s="1" t="s">
        <v>217</v>
      </c>
      <c r="I153" s="1">
        <v>5</v>
      </c>
      <c r="J153" s="1">
        <v>12140</v>
      </c>
      <c r="K153" s="1">
        <v>57665</v>
      </c>
      <c r="L153" s="1" t="s">
        <v>227</v>
      </c>
      <c r="M153" s="1">
        <v>5</v>
      </c>
      <c r="N153" s="1">
        <v>13565.87</v>
      </c>
    </row>
    <row r="154" spans="1:14" x14ac:dyDescent="0.25">
      <c r="A154" s="1">
        <v>1153</v>
      </c>
      <c r="B154" s="1" t="s">
        <v>285</v>
      </c>
      <c r="C154" s="1" t="s">
        <v>219</v>
      </c>
      <c r="D154" s="1" t="s">
        <v>232</v>
      </c>
      <c r="E154" s="1" t="s">
        <v>233</v>
      </c>
      <c r="F154" s="1" t="s">
        <v>215</v>
      </c>
      <c r="G154" s="1" t="s">
        <v>246</v>
      </c>
      <c r="H154" s="1" t="s">
        <v>221</v>
      </c>
      <c r="I154" s="1">
        <v>1</v>
      </c>
      <c r="J154" s="1">
        <v>43437</v>
      </c>
      <c r="K154" s="1">
        <v>41265.15</v>
      </c>
      <c r="L154" s="1" t="s">
        <v>240</v>
      </c>
      <c r="M154" s="1">
        <v>5</v>
      </c>
      <c r="N154" s="1">
        <v>9859.8799999999992</v>
      </c>
    </row>
    <row r="155" spans="1:14" x14ac:dyDescent="0.25">
      <c r="A155" s="1">
        <v>1154</v>
      </c>
      <c r="B155" s="1" t="s">
        <v>285</v>
      </c>
      <c r="C155" s="1" t="s">
        <v>239</v>
      </c>
      <c r="D155" s="1" t="s">
        <v>224</v>
      </c>
      <c r="E155" s="1" t="s">
        <v>233</v>
      </c>
      <c r="F155" s="1" t="s">
        <v>215</v>
      </c>
      <c r="G155" s="1" t="s">
        <v>244</v>
      </c>
      <c r="H155" s="1" t="s">
        <v>128</v>
      </c>
      <c r="I155" s="1">
        <v>1</v>
      </c>
      <c r="J155" s="1">
        <v>3774</v>
      </c>
      <c r="K155" s="1">
        <v>3585.3</v>
      </c>
      <c r="L155" s="1" t="s">
        <v>218</v>
      </c>
      <c r="M155" s="1">
        <v>5</v>
      </c>
      <c r="N155" s="1">
        <v>496.96</v>
      </c>
    </row>
    <row r="156" spans="1:14" x14ac:dyDescent="0.25">
      <c r="A156" s="1">
        <v>1155</v>
      </c>
      <c r="B156" s="1" t="s">
        <v>285</v>
      </c>
      <c r="C156" s="1" t="s">
        <v>229</v>
      </c>
      <c r="D156" s="1" t="s">
        <v>245</v>
      </c>
      <c r="E156" s="1" t="s">
        <v>124</v>
      </c>
      <c r="F156" s="1" t="s">
        <v>215</v>
      </c>
      <c r="G156" s="1" t="s">
        <v>216</v>
      </c>
      <c r="H156" s="1" t="s">
        <v>221</v>
      </c>
      <c r="I156" s="1">
        <v>2</v>
      </c>
      <c r="J156" s="1">
        <v>7907</v>
      </c>
      <c r="K156" s="1">
        <v>14232.6</v>
      </c>
      <c r="L156" s="1" t="s">
        <v>218</v>
      </c>
      <c r="M156" s="1">
        <v>10</v>
      </c>
      <c r="N156" s="1">
        <v>3276.61</v>
      </c>
    </row>
    <row r="157" spans="1:14" x14ac:dyDescent="0.25">
      <c r="A157" s="1">
        <v>1156</v>
      </c>
      <c r="B157" s="1" t="s">
        <v>286</v>
      </c>
      <c r="C157" s="1" t="s">
        <v>213</v>
      </c>
      <c r="D157" s="1" t="s">
        <v>220</v>
      </c>
      <c r="E157" s="1" t="s">
        <v>85</v>
      </c>
      <c r="F157" s="1" t="s">
        <v>215</v>
      </c>
      <c r="G157" s="1" t="s">
        <v>246</v>
      </c>
      <c r="H157" s="1" t="s">
        <v>128</v>
      </c>
      <c r="I157" s="1">
        <v>5</v>
      </c>
      <c r="J157" s="1">
        <v>17971</v>
      </c>
      <c r="K157" s="1">
        <v>89855</v>
      </c>
      <c r="L157" s="1" t="s">
        <v>240</v>
      </c>
      <c r="M157" s="1">
        <v>0</v>
      </c>
      <c r="N157" s="1">
        <v>17379.34</v>
      </c>
    </row>
    <row r="158" spans="1:14" x14ac:dyDescent="0.25">
      <c r="A158" s="1">
        <v>1157</v>
      </c>
      <c r="B158" s="1" t="s">
        <v>286</v>
      </c>
      <c r="C158" s="1" t="s">
        <v>223</v>
      </c>
      <c r="D158" s="1" t="s">
        <v>220</v>
      </c>
      <c r="E158" s="1" t="s">
        <v>85</v>
      </c>
      <c r="F158" s="1" t="s">
        <v>230</v>
      </c>
      <c r="G158" s="1" t="s">
        <v>231</v>
      </c>
      <c r="H158" s="1" t="s">
        <v>234</v>
      </c>
      <c r="I158" s="1">
        <v>5</v>
      </c>
      <c r="J158" s="1">
        <v>37411</v>
      </c>
      <c r="K158" s="1">
        <v>158996.75</v>
      </c>
      <c r="L158" s="1" t="s">
        <v>227</v>
      </c>
      <c r="M158" s="1">
        <v>15</v>
      </c>
      <c r="N158" s="1">
        <v>37533.25</v>
      </c>
    </row>
    <row r="159" spans="1:14" x14ac:dyDescent="0.25">
      <c r="A159" s="1">
        <v>1158</v>
      </c>
      <c r="B159" s="1" t="s">
        <v>286</v>
      </c>
      <c r="C159" s="1" t="s">
        <v>229</v>
      </c>
      <c r="D159" s="1" t="s">
        <v>220</v>
      </c>
      <c r="E159" s="1" t="s">
        <v>85</v>
      </c>
      <c r="F159" s="1" t="s">
        <v>230</v>
      </c>
      <c r="G159" s="1" t="s">
        <v>231</v>
      </c>
      <c r="H159" s="1" t="s">
        <v>128</v>
      </c>
      <c r="I159" s="1">
        <v>4</v>
      </c>
      <c r="J159" s="1">
        <v>20341</v>
      </c>
      <c r="K159" s="1">
        <v>73227.600000000006</v>
      </c>
      <c r="L159" s="1" t="s">
        <v>218</v>
      </c>
      <c r="M159" s="1">
        <v>10</v>
      </c>
      <c r="N159" s="1">
        <v>12672.11</v>
      </c>
    </row>
    <row r="160" spans="1:14" x14ac:dyDescent="0.25">
      <c r="A160" s="1">
        <v>1159</v>
      </c>
      <c r="B160" s="1" t="s">
        <v>286</v>
      </c>
      <c r="C160" s="1" t="s">
        <v>219</v>
      </c>
      <c r="D160" s="1" t="s">
        <v>220</v>
      </c>
      <c r="E160" s="1" t="s">
        <v>85</v>
      </c>
      <c r="F160" s="1" t="s">
        <v>215</v>
      </c>
      <c r="G160" s="1" t="s">
        <v>246</v>
      </c>
      <c r="H160" s="1" t="s">
        <v>217</v>
      </c>
      <c r="I160" s="1">
        <v>4</v>
      </c>
      <c r="J160" s="1">
        <v>34136</v>
      </c>
      <c r="K160" s="1">
        <v>136544</v>
      </c>
      <c r="L160" s="1" t="s">
        <v>222</v>
      </c>
      <c r="M160" s="1">
        <v>0</v>
      </c>
      <c r="N160" s="1">
        <v>23431.95</v>
      </c>
    </row>
    <row r="161" spans="1:14" x14ac:dyDescent="0.25">
      <c r="A161" s="1">
        <v>1160</v>
      </c>
      <c r="B161" s="1" t="s">
        <v>287</v>
      </c>
      <c r="C161" s="1" t="s">
        <v>213</v>
      </c>
      <c r="D161" s="1" t="s">
        <v>245</v>
      </c>
      <c r="E161" s="1" t="s">
        <v>124</v>
      </c>
      <c r="F161" s="1" t="s">
        <v>225</v>
      </c>
      <c r="G161" s="1" t="s">
        <v>226</v>
      </c>
      <c r="H161" s="1" t="s">
        <v>221</v>
      </c>
      <c r="I161" s="1">
        <v>5</v>
      </c>
      <c r="J161" s="1">
        <v>44275</v>
      </c>
      <c r="K161" s="1">
        <v>199237.5</v>
      </c>
      <c r="L161" s="1" t="s">
        <v>240</v>
      </c>
      <c r="M161" s="1">
        <v>10</v>
      </c>
      <c r="N161" s="1">
        <v>52381.04</v>
      </c>
    </row>
    <row r="162" spans="1:14" x14ac:dyDescent="0.25">
      <c r="A162" s="1">
        <v>1161</v>
      </c>
      <c r="B162" s="1" t="s">
        <v>287</v>
      </c>
      <c r="C162" s="1" t="s">
        <v>223</v>
      </c>
      <c r="D162" s="1" t="s">
        <v>214</v>
      </c>
      <c r="E162" s="1" t="s">
        <v>124</v>
      </c>
      <c r="F162" s="1" t="s">
        <v>230</v>
      </c>
      <c r="G162" s="1" t="s">
        <v>231</v>
      </c>
      <c r="H162" s="1" t="s">
        <v>221</v>
      </c>
      <c r="I162" s="1">
        <v>2</v>
      </c>
      <c r="J162" s="1">
        <v>40116</v>
      </c>
      <c r="K162" s="1">
        <v>76220.399999999994</v>
      </c>
      <c r="L162" s="1" t="s">
        <v>227</v>
      </c>
      <c r="M162" s="1">
        <v>5</v>
      </c>
      <c r="N162" s="1">
        <v>21117.78</v>
      </c>
    </row>
    <row r="163" spans="1:14" x14ac:dyDescent="0.25">
      <c r="A163" s="1">
        <v>1162</v>
      </c>
      <c r="B163" s="1" t="s">
        <v>288</v>
      </c>
      <c r="C163" s="1" t="s">
        <v>239</v>
      </c>
      <c r="D163" s="1" t="s">
        <v>224</v>
      </c>
      <c r="E163" s="1" t="s">
        <v>233</v>
      </c>
      <c r="F163" s="1" t="s">
        <v>215</v>
      </c>
      <c r="G163" s="1" t="s">
        <v>216</v>
      </c>
      <c r="H163" s="1" t="s">
        <v>234</v>
      </c>
      <c r="I163" s="1">
        <v>1</v>
      </c>
      <c r="J163" s="1">
        <v>34207</v>
      </c>
      <c r="K163" s="1">
        <v>30786.3</v>
      </c>
      <c r="L163" s="1" t="s">
        <v>218</v>
      </c>
      <c r="M163" s="1">
        <v>10</v>
      </c>
      <c r="N163" s="1">
        <v>8882</v>
      </c>
    </row>
    <row r="164" spans="1:14" x14ac:dyDescent="0.25">
      <c r="A164" s="1">
        <v>1163</v>
      </c>
      <c r="B164" s="1" t="s">
        <v>288</v>
      </c>
      <c r="C164" s="1" t="s">
        <v>239</v>
      </c>
      <c r="D164" s="1" t="s">
        <v>224</v>
      </c>
      <c r="E164" s="1" t="s">
        <v>233</v>
      </c>
      <c r="F164" s="1" t="s">
        <v>215</v>
      </c>
      <c r="G164" s="1" t="s">
        <v>244</v>
      </c>
      <c r="H164" s="1" t="s">
        <v>217</v>
      </c>
      <c r="I164" s="1">
        <v>3</v>
      </c>
      <c r="J164" s="1">
        <v>2703</v>
      </c>
      <c r="K164" s="1">
        <v>7703.55</v>
      </c>
      <c r="L164" s="1" t="s">
        <v>218</v>
      </c>
      <c r="M164" s="1">
        <v>5</v>
      </c>
      <c r="N164" s="1">
        <v>2282.88</v>
      </c>
    </row>
    <row r="165" spans="1:14" x14ac:dyDescent="0.25">
      <c r="A165" s="1">
        <v>1164</v>
      </c>
      <c r="B165" s="1" t="s">
        <v>289</v>
      </c>
      <c r="C165" s="1" t="s">
        <v>219</v>
      </c>
      <c r="D165" s="1" t="s">
        <v>232</v>
      </c>
      <c r="E165" s="1" t="s">
        <v>233</v>
      </c>
      <c r="F165" s="1" t="s">
        <v>230</v>
      </c>
      <c r="G165" s="1" t="s">
        <v>242</v>
      </c>
      <c r="H165" s="1" t="s">
        <v>128</v>
      </c>
      <c r="I165" s="1">
        <v>3</v>
      </c>
      <c r="J165" s="1">
        <v>23978</v>
      </c>
      <c r="K165" s="1">
        <v>61143.9</v>
      </c>
      <c r="L165" s="1" t="s">
        <v>240</v>
      </c>
      <c r="M165" s="1">
        <v>15</v>
      </c>
      <c r="N165" s="1">
        <v>15926.5</v>
      </c>
    </row>
    <row r="166" spans="1:14" x14ac:dyDescent="0.25">
      <c r="A166" s="1">
        <v>1165</v>
      </c>
      <c r="B166" s="1" t="s">
        <v>289</v>
      </c>
      <c r="C166" s="1" t="s">
        <v>223</v>
      </c>
      <c r="D166" s="1" t="s">
        <v>245</v>
      </c>
      <c r="E166" s="1" t="s">
        <v>124</v>
      </c>
      <c r="F166" s="1" t="s">
        <v>215</v>
      </c>
      <c r="G166" s="1" t="s">
        <v>246</v>
      </c>
      <c r="H166" s="1" t="s">
        <v>234</v>
      </c>
      <c r="I166" s="1">
        <v>2</v>
      </c>
      <c r="J166" s="1">
        <v>29688</v>
      </c>
      <c r="K166" s="1">
        <v>50469.599999999999</v>
      </c>
      <c r="L166" s="1" t="s">
        <v>222</v>
      </c>
      <c r="M166" s="1">
        <v>15</v>
      </c>
      <c r="N166" s="1">
        <v>6305.45</v>
      </c>
    </row>
    <row r="167" spans="1:14" x14ac:dyDescent="0.25">
      <c r="A167" s="1">
        <v>1166</v>
      </c>
      <c r="B167" s="1" t="s">
        <v>289</v>
      </c>
      <c r="C167" s="1" t="s">
        <v>213</v>
      </c>
      <c r="D167" s="1" t="s">
        <v>220</v>
      </c>
      <c r="E167" s="1" t="s">
        <v>85</v>
      </c>
      <c r="F167" s="1" t="s">
        <v>230</v>
      </c>
      <c r="G167" s="1" t="s">
        <v>241</v>
      </c>
      <c r="H167" s="1" t="s">
        <v>128</v>
      </c>
      <c r="I167" s="1">
        <v>3</v>
      </c>
      <c r="J167" s="1">
        <v>48214</v>
      </c>
      <c r="K167" s="1">
        <v>122945.7</v>
      </c>
      <c r="L167" s="1" t="s">
        <v>227</v>
      </c>
      <c r="M167" s="1">
        <v>15</v>
      </c>
      <c r="N167" s="1">
        <v>27153.72</v>
      </c>
    </row>
    <row r="168" spans="1:14" x14ac:dyDescent="0.25">
      <c r="A168" s="1">
        <v>1167</v>
      </c>
      <c r="B168" s="1" t="s">
        <v>289</v>
      </c>
      <c r="C168" s="1" t="s">
        <v>229</v>
      </c>
      <c r="D168" s="1" t="s">
        <v>232</v>
      </c>
      <c r="E168" s="1" t="s">
        <v>233</v>
      </c>
      <c r="F168" s="1" t="s">
        <v>225</v>
      </c>
      <c r="G168" s="1" t="s">
        <v>226</v>
      </c>
      <c r="H168" s="1" t="s">
        <v>234</v>
      </c>
      <c r="I168" s="1">
        <v>2</v>
      </c>
      <c r="J168" s="1">
        <v>9310</v>
      </c>
      <c r="K168" s="1">
        <v>16758</v>
      </c>
      <c r="L168" s="1" t="s">
        <v>240</v>
      </c>
      <c r="M168" s="1">
        <v>10</v>
      </c>
      <c r="N168" s="1">
        <v>4751.79</v>
      </c>
    </row>
    <row r="169" spans="1:14" x14ac:dyDescent="0.25">
      <c r="A169" s="1">
        <v>1168</v>
      </c>
      <c r="B169" s="1" t="s">
        <v>289</v>
      </c>
      <c r="C169" s="1" t="s">
        <v>223</v>
      </c>
      <c r="D169" s="1" t="s">
        <v>214</v>
      </c>
      <c r="E169" s="1" t="s">
        <v>124</v>
      </c>
      <c r="F169" s="1" t="s">
        <v>230</v>
      </c>
      <c r="G169" s="1" t="s">
        <v>242</v>
      </c>
      <c r="H169" s="1" t="s">
        <v>128</v>
      </c>
      <c r="I169" s="1">
        <v>1</v>
      </c>
      <c r="J169" s="1">
        <v>1039</v>
      </c>
      <c r="K169" s="1">
        <v>1039</v>
      </c>
      <c r="L169" s="1" t="s">
        <v>218</v>
      </c>
      <c r="M169" s="1">
        <v>0</v>
      </c>
      <c r="N169" s="1">
        <v>226.43</v>
      </c>
    </row>
    <row r="170" spans="1:14" x14ac:dyDescent="0.25">
      <c r="A170" s="1">
        <v>1169</v>
      </c>
      <c r="B170" s="1" t="s">
        <v>290</v>
      </c>
      <c r="C170" s="1" t="s">
        <v>239</v>
      </c>
      <c r="D170" s="1" t="s">
        <v>220</v>
      </c>
      <c r="E170" s="1" t="s">
        <v>85</v>
      </c>
      <c r="F170" s="1" t="s">
        <v>215</v>
      </c>
      <c r="G170" s="1" t="s">
        <v>216</v>
      </c>
      <c r="H170" s="1" t="s">
        <v>234</v>
      </c>
      <c r="I170" s="1">
        <v>5</v>
      </c>
      <c r="J170" s="1">
        <v>8704</v>
      </c>
      <c r="K170" s="1">
        <v>41344</v>
      </c>
      <c r="L170" s="1" t="s">
        <v>218</v>
      </c>
      <c r="M170" s="1">
        <v>5</v>
      </c>
      <c r="N170" s="1">
        <v>9441.65</v>
      </c>
    </row>
    <row r="171" spans="1:14" x14ac:dyDescent="0.25">
      <c r="A171" s="1">
        <v>1170</v>
      </c>
      <c r="B171" s="1" t="s">
        <v>290</v>
      </c>
      <c r="C171" s="1" t="s">
        <v>239</v>
      </c>
      <c r="D171" s="1" t="s">
        <v>224</v>
      </c>
      <c r="E171" s="1" t="s">
        <v>233</v>
      </c>
      <c r="F171" s="1" t="s">
        <v>230</v>
      </c>
      <c r="G171" s="1" t="s">
        <v>241</v>
      </c>
      <c r="H171" s="1" t="s">
        <v>221</v>
      </c>
      <c r="I171" s="1">
        <v>5</v>
      </c>
      <c r="J171" s="1">
        <v>48981</v>
      </c>
      <c r="K171" s="1">
        <v>220414.5</v>
      </c>
      <c r="L171" s="1" t="s">
        <v>227</v>
      </c>
      <c r="M171" s="1">
        <v>10</v>
      </c>
      <c r="N171" s="1">
        <v>65213.25</v>
      </c>
    </row>
    <row r="172" spans="1:14" x14ac:dyDescent="0.25">
      <c r="A172" s="1">
        <v>1171</v>
      </c>
      <c r="B172" s="1" t="s">
        <v>290</v>
      </c>
      <c r="C172" s="1" t="s">
        <v>229</v>
      </c>
      <c r="D172" s="1" t="s">
        <v>220</v>
      </c>
      <c r="E172" s="1" t="s">
        <v>85</v>
      </c>
      <c r="F172" s="1" t="s">
        <v>230</v>
      </c>
      <c r="G172" s="1" t="s">
        <v>241</v>
      </c>
      <c r="H172" s="1" t="s">
        <v>128</v>
      </c>
      <c r="I172" s="1">
        <v>5</v>
      </c>
      <c r="J172" s="1">
        <v>35413</v>
      </c>
      <c r="K172" s="1">
        <v>168211.75</v>
      </c>
      <c r="L172" s="1" t="s">
        <v>227</v>
      </c>
      <c r="M172" s="1">
        <v>5</v>
      </c>
      <c r="N172" s="1">
        <v>41340.9</v>
      </c>
    </row>
    <row r="173" spans="1:14" x14ac:dyDescent="0.25">
      <c r="A173" s="1">
        <v>1172</v>
      </c>
      <c r="B173" s="1" t="s">
        <v>290</v>
      </c>
      <c r="C173" s="1" t="s">
        <v>239</v>
      </c>
      <c r="D173" s="1" t="s">
        <v>245</v>
      </c>
      <c r="E173" s="1" t="s">
        <v>124</v>
      </c>
      <c r="F173" s="1" t="s">
        <v>215</v>
      </c>
      <c r="G173" s="1" t="s">
        <v>244</v>
      </c>
      <c r="H173" s="1" t="s">
        <v>217</v>
      </c>
      <c r="I173" s="1">
        <v>2</v>
      </c>
      <c r="J173" s="1">
        <v>1920</v>
      </c>
      <c r="K173" s="1">
        <v>3264</v>
      </c>
      <c r="L173" s="1" t="s">
        <v>218</v>
      </c>
      <c r="M173" s="1">
        <v>15</v>
      </c>
      <c r="N173" s="1">
        <v>830.38</v>
      </c>
    </row>
    <row r="174" spans="1:14" x14ac:dyDescent="0.25">
      <c r="A174" s="1">
        <v>1173</v>
      </c>
      <c r="B174" s="1" t="s">
        <v>290</v>
      </c>
      <c r="C174" s="1" t="s">
        <v>229</v>
      </c>
      <c r="D174" s="1" t="s">
        <v>220</v>
      </c>
      <c r="E174" s="1" t="s">
        <v>85</v>
      </c>
      <c r="F174" s="1" t="s">
        <v>225</v>
      </c>
      <c r="G174" s="1" t="s">
        <v>248</v>
      </c>
      <c r="H174" s="1" t="s">
        <v>234</v>
      </c>
      <c r="I174" s="1">
        <v>3</v>
      </c>
      <c r="J174" s="1">
        <v>49503</v>
      </c>
      <c r="K174" s="1">
        <v>141083.54999999999</v>
      </c>
      <c r="L174" s="1" t="s">
        <v>227</v>
      </c>
      <c r="M174" s="1">
        <v>5</v>
      </c>
      <c r="N174" s="1">
        <v>31474.09</v>
      </c>
    </row>
    <row r="175" spans="1:14" x14ac:dyDescent="0.25">
      <c r="A175" s="1">
        <v>1174</v>
      </c>
      <c r="B175" s="1" t="s">
        <v>291</v>
      </c>
      <c r="C175" s="1" t="s">
        <v>213</v>
      </c>
      <c r="D175" s="1" t="s">
        <v>214</v>
      </c>
      <c r="E175" s="1" t="s">
        <v>124</v>
      </c>
      <c r="F175" s="1" t="s">
        <v>215</v>
      </c>
      <c r="G175" s="1" t="s">
        <v>244</v>
      </c>
      <c r="H175" s="1" t="s">
        <v>128</v>
      </c>
      <c r="I175" s="1">
        <v>5</v>
      </c>
      <c r="J175" s="1">
        <v>42067</v>
      </c>
      <c r="K175" s="1">
        <v>210335</v>
      </c>
      <c r="L175" s="1" t="s">
        <v>218</v>
      </c>
      <c r="M175" s="1">
        <v>0</v>
      </c>
      <c r="N175" s="1">
        <v>37201.68</v>
      </c>
    </row>
    <row r="176" spans="1:14" x14ac:dyDescent="0.25">
      <c r="A176" s="1">
        <v>1175</v>
      </c>
      <c r="B176" s="1" t="s">
        <v>291</v>
      </c>
      <c r="C176" s="1" t="s">
        <v>239</v>
      </c>
      <c r="D176" s="1" t="s">
        <v>232</v>
      </c>
      <c r="E176" s="1" t="s">
        <v>233</v>
      </c>
      <c r="F176" s="1" t="s">
        <v>230</v>
      </c>
      <c r="G176" s="1" t="s">
        <v>241</v>
      </c>
      <c r="H176" s="1" t="s">
        <v>217</v>
      </c>
      <c r="I176" s="1">
        <v>3</v>
      </c>
      <c r="J176" s="1">
        <v>32522</v>
      </c>
      <c r="K176" s="1">
        <v>92687.7</v>
      </c>
      <c r="L176" s="1" t="s">
        <v>218</v>
      </c>
      <c r="M176" s="1">
        <v>5</v>
      </c>
      <c r="N176" s="1">
        <v>16339.32</v>
      </c>
    </row>
    <row r="177" spans="1:14" x14ac:dyDescent="0.25">
      <c r="A177" s="1">
        <v>1176</v>
      </c>
      <c r="B177" s="1" t="s">
        <v>291</v>
      </c>
      <c r="C177" s="1" t="s">
        <v>219</v>
      </c>
      <c r="D177" s="1" t="s">
        <v>220</v>
      </c>
      <c r="E177" s="1" t="s">
        <v>85</v>
      </c>
      <c r="F177" s="1" t="s">
        <v>225</v>
      </c>
      <c r="G177" s="1" t="s">
        <v>236</v>
      </c>
      <c r="H177" s="1" t="s">
        <v>234</v>
      </c>
      <c r="I177" s="1">
        <v>2</v>
      </c>
      <c r="J177" s="1">
        <v>26311</v>
      </c>
      <c r="K177" s="1">
        <v>49990.9</v>
      </c>
      <c r="L177" s="1" t="s">
        <v>240</v>
      </c>
      <c r="M177" s="1">
        <v>5</v>
      </c>
      <c r="N177" s="1">
        <v>6948.93</v>
      </c>
    </row>
    <row r="178" spans="1:14" x14ac:dyDescent="0.25">
      <c r="A178" s="1">
        <v>1177</v>
      </c>
      <c r="B178" s="1" t="s">
        <v>291</v>
      </c>
      <c r="C178" s="1" t="s">
        <v>223</v>
      </c>
      <c r="D178" s="1" t="s">
        <v>224</v>
      </c>
      <c r="E178" s="1" t="s">
        <v>233</v>
      </c>
      <c r="F178" s="1" t="s">
        <v>230</v>
      </c>
      <c r="G178" s="1" t="s">
        <v>231</v>
      </c>
      <c r="H178" s="1" t="s">
        <v>234</v>
      </c>
      <c r="I178" s="1">
        <v>1</v>
      </c>
      <c r="J178" s="1">
        <v>42803</v>
      </c>
      <c r="K178" s="1">
        <v>36382.550000000003</v>
      </c>
      <c r="L178" s="1" t="s">
        <v>227</v>
      </c>
      <c r="M178" s="1">
        <v>15</v>
      </c>
      <c r="N178" s="1">
        <v>9797.82</v>
      </c>
    </row>
    <row r="179" spans="1:14" x14ac:dyDescent="0.25">
      <c r="A179" s="1">
        <v>1178</v>
      </c>
      <c r="B179" s="1" t="s">
        <v>292</v>
      </c>
      <c r="C179" s="1" t="s">
        <v>223</v>
      </c>
      <c r="D179" s="1" t="s">
        <v>214</v>
      </c>
      <c r="E179" s="1" t="s">
        <v>124</v>
      </c>
      <c r="F179" s="1" t="s">
        <v>215</v>
      </c>
      <c r="G179" s="1" t="s">
        <v>244</v>
      </c>
      <c r="H179" s="1" t="s">
        <v>234</v>
      </c>
      <c r="I179" s="1">
        <v>5</v>
      </c>
      <c r="J179" s="1">
        <v>16361</v>
      </c>
      <c r="K179" s="1">
        <v>77714.75</v>
      </c>
      <c r="L179" s="1" t="s">
        <v>240</v>
      </c>
      <c r="M179" s="1">
        <v>5</v>
      </c>
      <c r="N179" s="1">
        <v>13574.16</v>
      </c>
    </row>
    <row r="180" spans="1:14" x14ac:dyDescent="0.25">
      <c r="A180" s="1">
        <v>1179</v>
      </c>
      <c r="B180" s="1" t="s">
        <v>292</v>
      </c>
      <c r="C180" s="1" t="s">
        <v>223</v>
      </c>
      <c r="D180" s="1" t="s">
        <v>214</v>
      </c>
      <c r="E180" s="1" t="s">
        <v>124</v>
      </c>
      <c r="F180" s="1" t="s">
        <v>215</v>
      </c>
      <c r="G180" s="1" t="s">
        <v>244</v>
      </c>
      <c r="H180" s="1" t="s">
        <v>234</v>
      </c>
      <c r="I180" s="1">
        <v>3</v>
      </c>
      <c r="J180" s="1">
        <v>43093</v>
      </c>
      <c r="K180" s="1">
        <v>109887.15</v>
      </c>
      <c r="L180" s="1" t="s">
        <v>222</v>
      </c>
      <c r="M180" s="1">
        <v>15</v>
      </c>
      <c r="N180" s="1">
        <v>26194.53</v>
      </c>
    </row>
    <row r="181" spans="1:14" x14ac:dyDescent="0.25">
      <c r="A181" s="1">
        <v>1180</v>
      </c>
      <c r="B181" s="1" t="s">
        <v>292</v>
      </c>
      <c r="C181" s="1" t="s">
        <v>223</v>
      </c>
      <c r="D181" s="1" t="s">
        <v>245</v>
      </c>
      <c r="E181" s="1" t="s">
        <v>124</v>
      </c>
      <c r="F181" s="1" t="s">
        <v>230</v>
      </c>
      <c r="G181" s="1" t="s">
        <v>242</v>
      </c>
      <c r="H181" s="1" t="s">
        <v>128</v>
      </c>
      <c r="I181" s="1">
        <v>3</v>
      </c>
      <c r="J181" s="1">
        <v>25807</v>
      </c>
      <c r="K181" s="1">
        <v>65807.850000000006</v>
      </c>
      <c r="L181" s="1" t="s">
        <v>240</v>
      </c>
      <c r="M181" s="1">
        <v>15</v>
      </c>
      <c r="N181" s="1">
        <v>11774.31</v>
      </c>
    </row>
    <row r="182" spans="1:14" x14ac:dyDescent="0.25">
      <c r="A182" s="1">
        <v>1181</v>
      </c>
      <c r="B182" s="1" t="s">
        <v>292</v>
      </c>
      <c r="C182" s="1" t="s">
        <v>213</v>
      </c>
      <c r="D182" s="1" t="s">
        <v>245</v>
      </c>
      <c r="E182" s="1" t="s">
        <v>124</v>
      </c>
      <c r="F182" s="1" t="s">
        <v>230</v>
      </c>
      <c r="G182" s="1" t="s">
        <v>231</v>
      </c>
      <c r="H182" s="1" t="s">
        <v>128</v>
      </c>
      <c r="I182" s="1">
        <v>1</v>
      </c>
      <c r="J182" s="1">
        <v>45137</v>
      </c>
      <c r="K182" s="1">
        <v>40623.300000000003</v>
      </c>
      <c r="L182" s="1" t="s">
        <v>240</v>
      </c>
      <c r="M182" s="1">
        <v>10</v>
      </c>
      <c r="N182" s="1">
        <v>8566.7800000000007</v>
      </c>
    </row>
    <row r="183" spans="1:14" x14ac:dyDescent="0.25">
      <c r="A183" s="1">
        <v>1182</v>
      </c>
      <c r="B183" s="1" t="s">
        <v>293</v>
      </c>
      <c r="C183" s="1" t="s">
        <v>213</v>
      </c>
      <c r="D183" s="1" t="s">
        <v>232</v>
      </c>
      <c r="E183" s="1" t="s">
        <v>233</v>
      </c>
      <c r="F183" s="1" t="s">
        <v>225</v>
      </c>
      <c r="G183" s="1" t="s">
        <v>226</v>
      </c>
      <c r="H183" s="1" t="s">
        <v>217</v>
      </c>
      <c r="I183" s="1">
        <v>2</v>
      </c>
      <c r="J183" s="1">
        <v>29393</v>
      </c>
      <c r="K183" s="1">
        <v>52907.4</v>
      </c>
      <c r="L183" s="1" t="s">
        <v>222</v>
      </c>
      <c r="M183" s="1">
        <v>10</v>
      </c>
      <c r="N183" s="1">
        <v>14741.01</v>
      </c>
    </row>
    <row r="184" spans="1:14" x14ac:dyDescent="0.25">
      <c r="A184" s="1">
        <v>1183</v>
      </c>
      <c r="B184" s="1" t="s">
        <v>293</v>
      </c>
      <c r="C184" s="1" t="s">
        <v>219</v>
      </c>
      <c r="D184" s="1" t="s">
        <v>220</v>
      </c>
      <c r="E184" s="1" t="s">
        <v>85</v>
      </c>
      <c r="F184" s="1" t="s">
        <v>215</v>
      </c>
      <c r="G184" s="1" t="s">
        <v>216</v>
      </c>
      <c r="H184" s="1" t="s">
        <v>221</v>
      </c>
      <c r="I184" s="1">
        <v>4</v>
      </c>
      <c r="J184" s="1">
        <v>42666</v>
      </c>
      <c r="K184" s="1">
        <v>170664</v>
      </c>
      <c r="L184" s="1" t="s">
        <v>218</v>
      </c>
      <c r="M184" s="1">
        <v>0</v>
      </c>
      <c r="N184" s="1">
        <v>36678.129999999997</v>
      </c>
    </row>
    <row r="185" spans="1:14" x14ac:dyDescent="0.25">
      <c r="A185" s="1">
        <v>1184</v>
      </c>
      <c r="B185" s="1" t="s">
        <v>293</v>
      </c>
      <c r="C185" s="1" t="s">
        <v>223</v>
      </c>
      <c r="D185" s="1" t="s">
        <v>232</v>
      </c>
      <c r="E185" s="1" t="s">
        <v>233</v>
      </c>
      <c r="F185" s="1" t="s">
        <v>230</v>
      </c>
      <c r="G185" s="1" t="s">
        <v>241</v>
      </c>
      <c r="H185" s="1" t="s">
        <v>128</v>
      </c>
      <c r="I185" s="1">
        <v>1</v>
      </c>
      <c r="J185" s="1">
        <v>5716</v>
      </c>
      <c r="K185" s="1">
        <v>5430.2</v>
      </c>
      <c r="L185" s="1" t="s">
        <v>218</v>
      </c>
      <c r="M185" s="1">
        <v>5</v>
      </c>
      <c r="N185" s="1">
        <v>1240.6400000000001</v>
      </c>
    </row>
    <row r="186" spans="1:14" x14ac:dyDescent="0.25">
      <c r="A186" s="1">
        <v>1185</v>
      </c>
      <c r="B186" s="1" t="s">
        <v>294</v>
      </c>
      <c r="C186" s="1" t="s">
        <v>219</v>
      </c>
      <c r="D186" s="1" t="s">
        <v>232</v>
      </c>
      <c r="E186" s="1" t="s">
        <v>233</v>
      </c>
      <c r="F186" s="1" t="s">
        <v>225</v>
      </c>
      <c r="G186" s="1" t="s">
        <v>248</v>
      </c>
      <c r="H186" s="1" t="s">
        <v>128</v>
      </c>
      <c r="I186" s="1">
        <v>3</v>
      </c>
      <c r="J186" s="1">
        <v>26543</v>
      </c>
      <c r="K186" s="1">
        <v>67684.649999999994</v>
      </c>
      <c r="L186" s="1" t="s">
        <v>240</v>
      </c>
      <c r="M186" s="1">
        <v>15</v>
      </c>
      <c r="N186" s="1">
        <v>10257.02</v>
      </c>
    </row>
    <row r="187" spans="1:14" x14ac:dyDescent="0.25">
      <c r="A187" s="1">
        <v>1186</v>
      </c>
      <c r="B187" s="1" t="s">
        <v>294</v>
      </c>
      <c r="C187" s="1" t="s">
        <v>223</v>
      </c>
      <c r="D187" s="1" t="s">
        <v>224</v>
      </c>
      <c r="E187" s="1" t="s">
        <v>233</v>
      </c>
      <c r="F187" s="1" t="s">
        <v>215</v>
      </c>
      <c r="G187" s="1" t="s">
        <v>244</v>
      </c>
      <c r="H187" s="1" t="s">
        <v>217</v>
      </c>
      <c r="I187" s="1">
        <v>2</v>
      </c>
      <c r="J187" s="1">
        <v>3993</v>
      </c>
      <c r="K187" s="1">
        <v>7986</v>
      </c>
      <c r="L187" s="1" t="s">
        <v>218</v>
      </c>
      <c r="M187" s="1">
        <v>0</v>
      </c>
      <c r="N187" s="1">
        <v>2392.29</v>
      </c>
    </row>
    <row r="188" spans="1:14" x14ac:dyDescent="0.25">
      <c r="A188" s="1">
        <v>1187</v>
      </c>
      <c r="B188" s="1" t="s">
        <v>295</v>
      </c>
      <c r="C188" s="1" t="s">
        <v>223</v>
      </c>
      <c r="D188" s="1" t="s">
        <v>214</v>
      </c>
      <c r="E188" s="1" t="s">
        <v>124</v>
      </c>
      <c r="F188" s="1" t="s">
        <v>215</v>
      </c>
      <c r="G188" s="1" t="s">
        <v>246</v>
      </c>
      <c r="H188" s="1" t="s">
        <v>128</v>
      </c>
      <c r="I188" s="1">
        <v>2</v>
      </c>
      <c r="J188" s="1">
        <v>45859</v>
      </c>
      <c r="K188" s="1">
        <v>82546.2</v>
      </c>
      <c r="L188" s="1" t="s">
        <v>222</v>
      </c>
      <c r="M188" s="1">
        <v>10</v>
      </c>
      <c r="N188" s="1">
        <v>8790.2000000000007</v>
      </c>
    </row>
    <row r="189" spans="1:14" x14ac:dyDescent="0.25">
      <c r="A189" s="1">
        <v>1188</v>
      </c>
      <c r="B189" s="1" t="s">
        <v>295</v>
      </c>
      <c r="C189" s="1" t="s">
        <v>213</v>
      </c>
      <c r="D189" s="1" t="s">
        <v>224</v>
      </c>
      <c r="E189" s="1" t="s">
        <v>233</v>
      </c>
      <c r="F189" s="1" t="s">
        <v>225</v>
      </c>
      <c r="G189" s="1" t="s">
        <v>226</v>
      </c>
      <c r="H189" s="1" t="s">
        <v>128</v>
      </c>
      <c r="I189" s="1">
        <v>1</v>
      </c>
      <c r="J189" s="1">
        <v>15311</v>
      </c>
      <c r="K189" s="1">
        <v>13014.35</v>
      </c>
      <c r="L189" s="1" t="s">
        <v>218</v>
      </c>
      <c r="M189" s="1">
        <v>15</v>
      </c>
      <c r="N189" s="1">
        <v>3863.6</v>
      </c>
    </row>
    <row r="190" spans="1:14" x14ac:dyDescent="0.25">
      <c r="A190" s="1">
        <v>1189</v>
      </c>
      <c r="B190" s="1" t="s">
        <v>296</v>
      </c>
      <c r="C190" s="1" t="s">
        <v>239</v>
      </c>
      <c r="D190" s="1" t="s">
        <v>220</v>
      </c>
      <c r="E190" s="1" t="s">
        <v>85</v>
      </c>
      <c r="F190" s="1" t="s">
        <v>215</v>
      </c>
      <c r="G190" s="1" t="s">
        <v>246</v>
      </c>
      <c r="H190" s="1" t="s">
        <v>217</v>
      </c>
      <c r="I190" s="1">
        <v>1</v>
      </c>
      <c r="J190" s="1">
        <v>5281</v>
      </c>
      <c r="K190" s="1">
        <v>5016.95</v>
      </c>
      <c r="L190" s="1" t="s">
        <v>227</v>
      </c>
      <c r="M190" s="1">
        <v>5</v>
      </c>
      <c r="N190" s="1">
        <v>1432.92</v>
      </c>
    </row>
    <row r="191" spans="1:14" x14ac:dyDescent="0.25">
      <c r="A191" s="1">
        <v>1190</v>
      </c>
      <c r="B191" s="1" t="s">
        <v>296</v>
      </c>
      <c r="C191" s="1" t="s">
        <v>223</v>
      </c>
      <c r="D191" s="1" t="s">
        <v>224</v>
      </c>
      <c r="E191" s="1" t="s">
        <v>233</v>
      </c>
      <c r="F191" s="1" t="s">
        <v>225</v>
      </c>
      <c r="G191" s="1" t="s">
        <v>236</v>
      </c>
      <c r="H191" s="1" t="s">
        <v>217</v>
      </c>
      <c r="I191" s="1">
        <v>4</v>
      </c>
      <c r="J191" s="1">
        <v>21380</v>
      </c>
      <c r="K191" s="1">
        <v>76968</v>
      </c>
      <c r="L191" s="1" t="s">
        <v>240</v>
      </c>
      <c r="M191" s="1">
        <v>10</v>
      </c>
      <c r="N191" s="1">
        <v>18302.11</v>
      </c>
    </row>
    <row r="192" spans="1:14" x14ac:dyDescent="0.25">
      <c r="A192" s="1">
        <v>1191</v>
      </c>
      <c r="B192" s="1" t="s">
        <v>296</v>
      </c>
      <c r="C192" s="1" t="s">
        <v>229</v>
      </c>
      <c r="D192" s="1" t="s">
        <v>214</v>
      </c>
      <c r="E192" s="1" t="s">
        <v>124</v>
      </c>
      <c r="F192" s="1" t="s">
        <v>225</v>
      </c>
      <c r="G192" s="1" t="s">
        <v>226</v>
      </c>
      <c r="H192" s="1" t="s">
        <v>128</v>
      </c>
      <c r="I192" s="1">
        <v>2</v>
      </c>
      <c r="J192" s="1">
        <v>14676</v>
      </c>
      <c r="K192" s="1">
        <v>29352</v>
      </c>
      <c r="L192" s="1" t="s">
        <v>227</v>
      </c>
      <c r="M192" s="1">
        <v>0</v>
      </c>
      <c r="N192" s="1">
        <v>3208.18</v>
      </c>
    </row>
    <row r="193" spans="1:14" x14ac:dyDescent="0.25">
      <c r="A193" s="1">
        <v>1192</v>
      </c>
      <c r="B193" s="1" t="s">
        <v>296</v>
      </c>
      <c r="C193" s="1" t="s">
        <v>213</v>
      </c>
      <c r="D193" s="1" t="s">
        <v>214</v>
      </c>
      <c r="E193" s="1" t="s">
        <v>124</v>
      </c>
      <c r="F193" s="1" t="s">
        <v>230</v>
      </c>
      <c r="G193" s="1" t="s">
        <v>242</v>
      </c>
      <c r="H193" s="1" t="s">
        <v>128</v>
      </c>
      <c r="I193" s="1">
        <v>4</v>
      </c>
      <c r="J193" s="1">
        <v>24553</v>
      </c>
      <c r="K193" s="1">
        <v>93301.4</v>
      </c>
      <c r="L193" s="1" t="s">
        <v>227</v>
      </c>
      <c r="M193" s="1">
        <v>5</v>
      </c>
      <c r="N193" s="1">
        <v>11669.03</v>
      </c>
    </row>
    <row r="194" spans="1:14" x14ac:dyDescent="0.25">
      <c r="A194" s="1">
        <v>1193</v>
      </c>
      <c r="B194" s="1" t="s">
        <v>296</v>
      </c>
      <c r="C194" s="1" t="s">
        <v>229</v>
      </c>
      <c r="D194" s="1" t="s">
        <v>224</v>
      </c>
      <c r="E194" s="1" t="s">
        <v>233</v>
      </c>
      <c r="F194" s="1" t="s">
        <v>215</v>
      </c>
      <c r="G194" s="1" t="s">
        <v>246</v>
      </c>
      <c r="H194" s="1" t="s">
        <v>217</v>
      </c>
      <c r="I194" s="1">
        <v>1</v>
      </c>
      <c r="J194" s="1">
        <v>10848</v>
      </c>
      <c r="K194" s="1">
        <v>9763.2000000000007</v>
      </c>
      <c r="L194" s="1" t="s">
        <v>227</v>
      </c>
      <c r="M194" s="1">
        <v>10</v>
      </c>
      <c r="N194" s="1">
        <v>1638.03</v>
      </c>
    </row>
    <row r="195" spans="1:14" x14ac:dyDescent="0.25">
      <c r="A195" s="1">
        <v>1194</v>
      </c>
      <c r="B195" s="1" t="s">
        <v>297</v>
      </c>
      <c r="C195" s="1" t="s">
        <v>239</v>
      </c>
      <c r="D195" s="1" t="s">
        <v>220</v>
      </c>
      <c r="E195" s="1" t="s">
        <v>85</v>
      </c>
      <c r="F195" s="1" t="s">
        <v>230</v>
      </c>
      <c r="G195" s="1" t="s">
        <v>241</v>
      </c>
      <c r="H195" s="1" t="s">
        <v>128</v>
      </c>
      <c r="I195" s="1">
        <v>1</v>
      </c>
      <c r="J195" s="1">
        <v>12286</v>
      </c>
      <c r="K195" s="1">
        <v>11671.7</v>
      </c>
      <c r="L195" s="1" t="s">
        <v>222</v>
      </c>
      <c r="M195" s="1">
        <v>5</v>
      </c>
      <c r="N195" s="1">
        <v>2053.81</v>
      </c>
    </row>
    <row r="196" spans="1:14" x14ac:dyDescent="0.25">
      <c r="A196" s="1">
        <v>1195</v>
      </c>
      <c r="B196" s="1" t="s">
        <v>297</v>
      </c>
      <c r="C196" s="1" t="s">
        <v>213</v>
      </c>
      <c r="D196" s="1" t="s">
        <v>224</v>
      </c>
      <c r="E196" s="1" t="s">
        <v>233</v>
      </c>
      <c r="F196" s="1" t="s">
        <v>215</v>
      </c>
      <c r="G196" s="1" t="s">
        <v>216</v>
      </c>
      <c r="H196" s="1" t="s">
        <v>217</v>
      </c>
      <c r="I196" s="1">
        <v>3</v>
      </c>
      <c r="J196" s="1">
        <v>35194</v>
      </c>
      <c r="K196" s="1">
        <v>100302.9</v>
      </c>
      <c r="L196" s="1" t="s">
        <v>227</v>
      </c>
      <c r="M196" s="1">
        <v>5</v>
      </c>
      <c r="N196" s="1">
        <v>27257.68</v>
      </c>
    </row>
    <row r="197" spans="1:14" x14ac:dyDescent="0.25">
      <c r="A197" s="1">
        <v>1196</v>
      </c>
      <c r="B197" s="1" t="s">
        <v>297</v>
      </c>
      <c r="C197" s="1" t="s">
        <v>229</v>
      </c>
      <c r="D197" s="1" t="s">
        <v>224</v>
      </c>
      <c r="E197" s="1" t="s">
        <v>233</v>
      </c>
      <c r="F197" s="1" t="s">
        <v>225</v>
      </c>
      <c r="G197" s="1" t="s">
        <v>226</v>
      </c>
      <c r="H197" s="1" t="s">
        <v>221</v>
      </c>
      <c r="I197" s="1">
        <v>5</v>
      </c>
      <c r="J197" s="1">
        <v>15477</v>
      </c>
      <c r="K197" s="1">
        <v>65777.25</v>
      </c>
      <c r="L197" s="1" t="s">
        <v>218</v>
      </c>
      <c r="M197" s="1">
        <v>15</v>
      </c>
      <c r="N197" s="1">
        <v>8369.14</v>
      </c>
    </row>
    <row r="198" spans="1:14" x14ac:dyDescent="0.25">
      <c r="A198" s="1">
        <v>1197</v>
      </c>
      <c r="B198" s="1" t="s">
        <v>297</v>
      </c>
      <c r="C198" s="1" t="s">
        <v>229</v>
      </c>
      <c r="D198" s="1" t="s">
        <v>220</v>
      </c>
      <c r="E198" s="1" t="s">
        <v>85</v>
      </c>
      <c r="F198" s="1" t="s">
        <v>230</v>
      </c>
      <c r="G198" s="1" t="s">
        <v>241</v>
      </c>
      <c r="H198" s="1" t="s">
        <v>128</v>
      </c>
      <c r="I198" s="1">
        <v>1</v>
      </c>
      <c r="J198" s="1">
        <v>7690</v>
      </c>
      <c r="K198" s="1">
        <v>7305.5</v>
      </c>
      <c r="L198" s="1" t="s">
        <v>222</v>
      </c>
      <c r="M198" s="1">
        <v>5</v>
      </c>
      <c r="N198" s="1">
        <v>816.3</v>
      </c>
    </row>
    <row r="199" spans="1:14" x14ac:dyDescent="0.25">
      <c r="A199" s="1">
        <v>1198</v>
      </c>
      <c r="B199" s="1" t="s">
        <v>298</v>
      </c>
      <c r="C199" s="1" t="s">
        <v>239</v>
      </c>
      <c r="D199" s="1" t="s">
        <v>245</v>
      </c>
      <c r="E199" s="1" t="s">
        <v>124</v>
      </c>
      <c r="F199" s="1" t="s">
        <v>225</v>
      </c>
      <c r="G199" s="1" t="s">
        <v>236</v>
      </c>
      <c r="H199" s="1" t="s">
        <v>217</v>
      </c>
      <c r="I199" s="1">
        <v>1</v>
      </c>
      <c r="J199" s="1">
        <v>21178</v>
      </c>
      <c r="K199" s="1">
        <v>19060.2</v>
      </c>
      <c r="L199" s="1" t="s">
        <v>222</v>
      </c>
      <c r="M199" s="1">
        <v>10</v>
      </c>
      <c r="N199" s="1">
        <v>1953.28</v>
      </c>
    </row>
    <row r="200" spans="1:14" x14ac:dyDescent="0.25">
      <c r="A200" s="1">
        <v>1199</v>
      </c>
      <c r="B200" s="1" t="s">
        <v>298</v>
      </c>
      <c r="C200" s="1" t="s">
        <v>223</v>
      </c>
      <c r="D200" s="1" t="s">
        <v>224</v>
      </c>
      <c r="E200" s="1" t="s">
        <v>233</v>
      </c>
      <c r="F200" s="1" t="s">
        <v>225</v>
      </c>
      <c r="G200" s="1" t="s">
        <v>236</v>
      </c>
      <c r="H200" s="1" t="s">
        <v>128</v>
      </c>
      <c r="I200" s="1">
        <v>5</v>
      </c>
      <c r="J200" s="1">
        <v>47099</v>
      </c>
      <c r="K200" s="1">
        <v>211945.5</v>
      </c>
      <c r="L200" s="1" t="s">
        <v>222</v>
      </c>
      <c r="M200" s="1">
        <v>10</v>
      </c>
      <c r="N200" s="1">
        <v>41828.36</v>
      </c>
    </row>
    <row r="201" spans="1:14" x14ac:dyDescent="0.25">
      <c r="A201" s="1">
        <v>1200</v>
      </c>
      <c r="B201" s="1" t="s">
        <v>298</v>
      </c>
      <c r="C201" s="1" t="s">
        <v>223</v>
      </c>
      <c r="D201" s="1" t="s">
        <v>245</v>
      </c>
      <c r="E201" s="1" t="s">
        <v>124</v>
      </c>
      <c r="F201" s="1" t="s">
        <v>215</v>
      </c>
      <c r="G201" s="1" t="s">
        <v>246</v>
      </c>
      <c r="H201" s="1" t="s">
        <v>234</v>
      </c>
      <c r="I201" s="1">
        <v>3</v>
      </c>
      <c r="J201" s="1">
        <v>11784</v>
      </c>
      <c r="K201" s="1">
        <v>31816.799999999999</v>
      </c>
      <c r="L201" s="1" t="s">
        <v>240</v>
      </c>
      <c r="M201" s="1">
        <v>10</v>
      </c>
      <c r="N201" s="1">
        <v>4588.1499999999996</v>
      </c>
    </row>
    <row r="202" spans="1:14" x14ac:dyDescent="0.25">
      <c r="A202" s="1">
        <v>1201</v>
      </c>
      <c r="B202" s="1" t="s">
        <v>299</v>
      </c>
      <c r="C202" s="1" t="s">
        <v>223</v>
      </c>
      <c r="D202" s="1" t="s">
        <v>214</v>
      </c>
      <c r="E202" s="1" t="s">
        <v>124</v>
      </c>
      <c r="F202" s="1" t="s">
        <v>230</v>
      </c>
      <c r="G202" s="1" t="s">
        <v>242</v>
      </c>
      <c r="H202" s="1" t="s">
        <v>221</v>
      </c>
      <c r="I202" s="1">
        <v>5</v>
      </c>
      <c r="J202" s="1">
        <v>6390</v>
      </c>
      <c r="K202" s="1">
        <v>30352.5</v>
      </c>
      <c r="L202" s="1" t="s">
        <v>218</v>
      </c>
      <c r="M202" s="1">
        <v>5</v>
      </c>
      <c r="N202" s="1">
        <v>4941.12</v>
      </c>
    </row>
    <row r="203" spans="1:14" x14ac:dyDescent="0.25">
      <c r="A203" s="1">
        <v>1202</v>
      </c>
      <c r="B203" s="1" t="s">
        <v>299</v>
      </c>
      <c r="C203" s="1" t="s">
        <v>223</v>
      </c>
      <c r="D203" s="1" t="s">
        <v>220</v>
      </c>
      <c r="E203" s="1" t="s">
        <v>85</v>
      </c>
      <c r="F203" s="1" t="s">
        <v>230</v>
      </c>
      <c r="G203" s="1" t="s">
        <v>241</v>
      </c>
      <c r="H203" s="1" t="s">
        <v>217</v>
      </c>
      <c r="I203" s="1">
        <v>4</v>
      </c>
      <c r="J203" s="1">
        <v>15157</v>
      </c>
      <c r="K203" s="1">
        <v>54565.2</v>
      </c>
      <c r="L203" s="1" t="s">
        <v>218</v>
      </c>
      <c r="M203" s="1">
        <v>10</v>
      </c>
      <c r="N203" s="1">
        <v>8723.3799999999992</v>
      </c>
    </row>
    <row r="204" spans="1:14" x14ac:dyDescent="0.25">
      <c r="A204" s="1">
        <v>1203</v>
      </c>
      <c r="B204" s="1" t="s">
        <v>299</v>
      </c>
      <c r="C204" s="1" t="s">
        <v>223</v>
      </c>
      <c r="D204" s="1" t="s">
        <v>224</v>
      </c>
      <c r="E204" s="1" t="s">
        <v>233</v>
      </c>
      <c r="F204" s="1" t="s">
        <v>215</v>
      </c>
      <c r="G204" s="1" t="s">
        <v>246</v>
      </c>
      <c r="H204" s="1" t="s">
        <v>221</v>
      </c>
      <c r="I204" s="1">
        <v>1</v>
      </c>
      <c r="J204" s="1">
        <v>29702</v>
      </c>
      <c r="K204" s="1">
        <v>28216.9</v>
      </c>
      <c r="L204" s="1" t="s">
        <v>222</v>
      </c>
      <c r="M204" s="1">
        <v>5</v>
      </c>
      <c r="N204" s="1">
        <v>6446.89</v>
      </c>
    </row>
    <row r="205" spans="1:14" x14ac:dyDescent="0.25">
      <c r="A205" s="1">
        <v>1204</v>
      </c>
      <c r="B205" s="1" t="s">
        <v>300</v>
      </c>
      <c r="C205" s="1" t="s">
        <v>213</v>
      </c>
      <c r="D205" s="1" t="s">
        <v>224</v>
      </c>
      <c r="E205" s="1" t="s">
        <v>233</v>
      </c>
      <c r="F205" s="1" t="s">
        <v>215</v>
      </c>
      <c r="G205" s="1" t="s">
        <v>244</v>
      </c>
      <c r="H205" s="1" t="s">
        <v>234</v>
      </c>
      <c r="I205" s="1">
        <v>1</v>
      </c>
      <c r="J205" s="1">
        <v>29940</v>
      </c>
      <c r="K205" s="1">
        <v>29940</v>
      </c>
      <c r="L205" s="1" t="s">
        <v>240</v>
      </c>
      <c r="M205" s="1">
        <v>0</v>
      </c>
      <c r="N205" s="1">
        <v>5452.47</v>
      </c>
    </row>
    <row r="206" spans="1:14" x14ac:dyDescent="0.25">
      <c r="A206" s="1">
        <v>1205</v>
      </c>
      <c r="B206" s="1" t="s">
        <v>300</v>
      </c>
      <c r="C206" s="1" t="s">
        <v>239</v>
      </c>
      <c r="D206" s="1" t="s">
        <v>224</v>
      </c>
      <c r="E206" s="1" t="s">
        <v>233</v>
      </c>
      <c r="F206" s="1" t="s">
        <v>230</v>
      </c>
      <c r="G206" s="1" t="s">
        <v>242</v>
      </c>
      <c r="H206" s="1" t="s">
        <v>128</v>
      </c>
      <c r="I206" s="1">
        <v>4</v>
      </c>
      <c r="J206" s="1">
        <v>628</v>
      </c>
      <c r="K206" s="1">
        <v>2512</v>
      </c>
      <c r="L206" s="1" t="s">
        <v>227</v>
      </c>
      <c r="M206" s="1">
        <v>0</v>
      </c>
      <c r="N206" s="1">
        <v>451.68</v>
      </c>
    </row>
    <row r="207" spans="1:14" x14ac:dyDescent="0.25">
      <c r="A207" s="1">
        <v>1206</v>
      </c>
      <c r="B207" s="1" t="s">
        <v>300</v>
      </c>
      <c r="C207" s="1" t="s">
        <v>219</v>
      </c>
      <c r="D207" s="1" t="s">
        <v>224</v>
      </c>
      <c r="E207" s="1" t="s">
        <v>233</v>
      </c>
      <c r="F207" s="1" t="s">
        <v>225</v>
      </c>
      <c r="G207" s="1" t="s">
        <v>236</v>
      </c>
      <c r="H207" s="1" t="s">
        <v>217</v>
      </c>
      <c r="I207" s="1">
        <v>4</v>
      </c>
      <c r="J207" s="1">
        <v>22663</v>
      </c>
      <c r="K207" s="1">
        <v>86119.4</v>
      </c>
      <c r="L207" s="1" t="s">
        <v>222</v>
      </c>
      <c r="M207" s="1">
        <v>5</v>
      </c>
      <c r="N207" s="1">
        <v>18465.54</v>
      </c>
    </row>
    <row r="208" spans="1:14" x14ac:dyDescent="0.25">
      <c r="A208" s="1">
        <v>1207</v>
      </c>
      <c r="B208" s="1" t="s">
        <v>301</v>
      </c>
      <c r="C208" s="1" t="s">
        <v>219</v>
      </c>
      <c r="D208" s="1" t="s">
        <v>224</v>
      </c>
      <c r="E208" s="1" t="s">
        <v>233</v>
      </c>
      <c r="F208" s="1" t="s">
        <v>215</v>
      </c>
      <c r="G208" s="1" t="s">
        <v>216</v>
      </c>
      <c r="H208" s="1" t="s">
        <v>217</v>
      </c>
      <c r="I208" s="1">
        <v>1</v>
      </c>
      <c r="J208" s="1">
        <v>1955</v>
      </c>
      <c r="K208" s="1">
        <v>1661.75</v>
      </c>
      <c r="L208" s="1" t="s">
        <v>240</v>
      </c>
      <c r="M208" s="1">
        <v>15</v>
      </c>
      <c r="N208" s="1">
        <v>411.43</v>
      </c>
    </row>
    <row r="209" spans="1:14" x14ac:dyDescent="0.25">
      <c r="A209" s="1">
        <v>1208</v>
      </c>
      <c r="B209" s="1" t="s">
        <v>301</v>
      </c>
      <c r="C209" s="1" t="s">
        <v>219</v>
      </c>
      <c r="D209" s="1" t="s">
        <v>220</v>
      </c>
      <c r="E209" s="1" t="s">
        <v>85</v>
      </c>
      <c r="F209" s="1" t="s">
        <v>225</v>
      </c>
      <c r="G209" s="1" t="s">
        <v>226</v>
      </c>
      <c r="H209" s="1" t="s">
        <v>221</v>
      </c>
      <c r="I209" s="1">
        <v>3</v>
      </c>
      <c r="J209" s="1">
        <v>39184</v>
      </c>
      <c r="K209" s="1">
        <v>105796.8</v>
      </c>
      <c r="L209" s="1" t="s">
        <v>222</v>
      </c>
      <c r="M209" s="1">
        <v>10</v>
      </c>
      <c r="N209" s="1">
        <v>16113.31</v>
      </c>
    </row>
    <row r="210" spans="1:14" x14ac:dyDescent="0.25">
      <c r="A210" s="1">
        <v>1209</v>
      </c>
      <c r="B210" s="1" t="s">
        <v>301</v>
      </c>
      <c r="C210" s="1" t="s">
        <v>229</v>
      </c>
      <c r="D210" s="1" t="s">
        <v>214</v>
      </c>
      <c r="E210" s="1" t="s">
        <v>124</v>
      </c>
      <c r="F210" s="1" t="s">
        <v>225</v>
      </c>
      <c r="G210" s="1" t="s">
        <v>236</v>
      </c>
      <c r="H210" s="1" t="s">
        <v>221</v>
      </c>
      <c r="I210" s="1">
        <v>1</v>
      </c>
      <c r="J210" s="1">
        <v>47689</v>
      </c>
      <c r="K210" s="1">
        <v>45304.55</v>
      </c>
      <c r="L210" s="1" t="s">
        <v>222</v>
      </c>
      <c r="M210" s="1">
        <v>5</v>
      </c>
      <c r="N210" s="1">
        <v>5035.8599999999997</v>
      </c>
    </row>
    <row r="211" spans="1:14" x14ac:dyDescent="0.25">
      <c r="A211" s="1">
        <v>1210</v>
      </c>
      <c r="B211" s="1" t="s">
        <v>301</v>
      </c>
      <c r="C211" s="1" t="s">
        <v>219</v>
      </c>
      <c r="D211" s="1" t="s">
        <v>224</v>
      </c>
      <c r="E211" s="1" t="s">
        <v>233</v>
      </c>
      <c r="F211" s="1" t="s">
        <v>225</v>
      </c>
      <c r="G211" s="1" t="s">
        <v>236</v>
      </c>
      <c r="H211" s="1" t="s">
        <v>128</v>
      </c>
      <c r="I211" s="1">
        <v>4</v>
      </c>
      <c r="J211" s="1">
        <v>11104</v>
      </c>
      <c r="K211" s="1">
        <v>42195.199999999997</v>
      </c>
      <c r="L211" s="1" t="s">
        <v>227</v>
      </c>
      <c r="M211" s="1">
        <v>5</v>
      </c>
      <c r="N211" s="1">
        <v>10858.3</v>
      </c>
    </row>
    <row r="212" spans="1:14" x14ac:dyDescent="0.25">
      <c r="A212" s="1">
        <v>1211</v>
      </c>
      <c r="B212" s="1" t="s">
        <v>302</v>
      </c>
      <c r="C212" s="1" t="s">
        <v>219</v>
      </c>
      <c r="D212" s="1" t="s">
        <v>220</v>
      </c>
      <c r="E212" s="1" t="s">
        <v>85</v>
      </c>
      <c r="F212" s="1" t="s">
        <v>215</v>
      </c>
      <c r="G212" s="1" t="s">
        <v>244</v>
      </c>
      <c r="H212" s="1" t="s">
        <v>217</v>
      </c>
      <c r="I212" s="1">
        <v>2</v>
      </c>
      <c r="J212" s="1">
        <v>1745</v>
      </c>
      <c r="K212" s="1">
        <v>2966.5</v>
      </c>
      <c r="L212" s="1" t="s">
        <v>218</v>
      </c>
      <c r="M212" s="1">
        <v>15</v>
      </c>
      <c r="N212" s="1">
        <v>880.85</v>
      </c>
    </row>
    <row r="213" spans="1:14" x14ac:dyDescent="0.25">
      <c r="A213" s="1">
        <v>1212</v>
      </c>
      <c r="B213" s="1" t="s">
        <v>302</v>
      </c>
      <c r="C213" s="1" t="s">
        <v>223</v>
      </c>
      <c r="D213" s="1" t="s">
        <v>232</v>
      </c>
      <c r="E213" s="1" t="s">
        <v>233</v>
      </c>
      <c r="F213" s="1" t="s">
        <v>215</v>
      </c>
      <c r="G213" s="1" t="s">
        <v>216</v>
      </c>
      <c r="H213" s="1" t="s">
        <v>234</v>
      </c>
      <c r="I213" s="1">
        <v>5</v>
      </c>
      <c r="J213" s="1">
        <v>38203</v>
      </c>
      <c r="K213" s="1">
        <v>162362.75</v>
      </c>
      <c r="L213" s="1" t="s">
        <v>222</v>
      </c>
      <c r="M213" s="1">
        <v>15</v>
      </c>
      <c r="N213" s="1">
        <v>30826.01</v>
      </c>
    </row>
    <row r="214" spans="1:14" x14ac:dyDescent="0.25">
      <c r="A214" s="1">
        <v>1213</v>
      </c>
      <c r="B214" s="1" t="s">
        <v>303</v>
      </c>
      <c r="C214" s="1" t="s">
        <v>229</v>
      </c>
      <c r="D214" s="1" t="s">
        <v>220</v>
      </c>
      <c r="E214" s="1" t="s">
        <v>85</v>
      </c>
      <c r="F214" s="1" t="s">
        <v>215</v>
      </c>
      <c r="G214" s="1" t="s">
        <v>216</v>
      </c>
      <c r="H214" s="1" t="s">
        <v>234</v>
      </c>
      <c r="I214" s="1">
        <v>4</v>
      </c>
      <c r="J214" s="1">
        <v>6598</v>
      </c>
      <c r="K214" s="1">
        <v>23752.799999999999</v>
      </c>
      <c r="L214" s="1" t="s">
        <v>240</v>
      </c>
      <c r="M214" s="1">
        <v>10</v>
      </c>
      <c r="N214" s="1">
        <v>3272.49</v>
      </c>
    </row>
    <row r="215" spans="1:14" x14ac:dyDescent="0.25">
      <c r="A215" s="1">
        <v>1214</v>
      </c>
      <c r="B215" s="1" t="s">
        <v>303</v>
      </c>
      <c r="C215" s="1" t="s">
        <v>223</v>
      </c>
      <c r="D215" s="1" t="s">
        <v>245</v>
      </c>
      <c r="E215" s="1" t="s">
        <v>124</v>
      </c>
      <c r="F215" s="1" t="s">
        <v>230</v>
      </c>
      <c r="G215" s="1" t="s">
        <v>241</v>
      </c>
      <c r="H215" s="1" t="s">
        <v>128</v>
      </c>
      <c r="I215" s="1">
        <v>1</v>
      </c>
      <c r="J215" s="1">
        <v>45792</v>
      </c>
      <c r="K215" s="1">
        <v>43502.400000000001</v>
      </c>
      <c r="L215" s="1" t="s">
        <v>222</v>
      </c>
      <c r="M215" s="1">
        <v>5</v>
      </c>
      <c r="N215" s="1">
        <v>11899.85</v>
      </c>
    </row>
    <row r="216" spans="1:14" x14ac:dyDescent="0.25">
      <c r="A216" s="1">
        <v>1215</v>
      </c>
      <c r="B216" s="1" t="s">
        <v>303</v>
      </c>
      <c r="C216" s="1" t="s">
        <v>213</v>
      </c>
      <c r="D216" s="1" t="s">
        <v>220</v>
      </c>
      <c r="E216" s="1" t="s">
        <v>85</v>
      </c>
      <c r="F216" s="1" t="s">
        <v>215</v>
      </c>
      <c r="G216" s="1" t="s">
        <v>246</v>
      </c>
      <c r="H216" s="1" t="s">
        <v>128</v>
      </c>
      <c r="I216" s="1">
        <v>3</v>
      </c>
      <c r="J216" s="1">
        <v>48399</v>
      </c>
      <c r="K216" s="1">
        <v>137937.15</v>
      </c>
      <c r="L216" s="1" t="s">
        <v>222</v>
      </c>
      <c r="M216" s="1">
        <v>5</v>
      </c>
      <c r="N216" s="1">
        <v>20953.93</v>
      </c>
    </row>
    <row r="217" spans="1:14" x14ac:dyDescent="0.25">
      <c r="A217" s="1">
        <v>1216</v>
      </c>
      <c r="B217" s="1" t="s">
        <v>303</v>
      </c>
      <c r="C217" s="1" t="s">
        <v>239</v>
      </c>
      <c r="D217" s="1" t="s">
        <v>224</v>
      </c>
      <c r="E217" s="1" t="s">
        <v>233</v>
      </c>
      <c r="F217" s="1" t="s">
        <v>215</v>
      </c>
      <c r="G217" s="1" t="s">
        <v>216</v>
      </c>
      <c r="H217" s="1" t="s">
        <v>221</v>
      </c>
      <c r="I217" s="1">
        <v>5</v>
      </c>
      <c r="J217" s="1">
        <v>45699</v>
      </c>
      <c r="K217" s="1">
        <v>205645.5</v>
      </c>
      <c r="L217" s="1" t="s">
        <v>240</v>
      </c>
      <c r="M217" s="1">
        <v>10</v>
      </c>
      <c r="N217" s="1">
        <v>36527.57</v>
      </c>
    </row>
    <row r="218" spans="1:14" x14ac:dyDescent="0.25">
      <c r="A218" s="1">
        <v>1217</v>
      </c>
      <c r="B218" s="1" t="s">
        <v>303</v>
      </c>
      <c r="C218" s="1" t="s">
        <v>223</v>
      </c>
      <c r="D218" s="1" t="s">
        <v>220</v>
      </c>
      <c r="E218" s="1" t="s">
        <v>85</v>
      </c>
      <c r="F218" s="1" t="s">
        <v>225</v>
      </c>
      <c r="G218" s="1" t="s">
        <v>226</v>
      </c>
      <c r="H218" s="1" t="s">
        <v>234</v>
      </c>
      <c r="I218" s="1">
        <v>5</v>
      </c>
      <c r="J218" s="1">
        <v>28461</v>
      </c>
      <c r="K218" s="1">
        <v>120959.25</v>
      </c>
      <c r="L218" s="1" t="s">
        <v>222</v>
      </c>
      <c r="M218" s="1">
        <v>15</v>
      </c>
      <c r="N218" s="1">
        <v>35818.44</v>
      </c>
    </row>
    <row r="219" spans="1:14" x14ac:dyDescent="0.25">
      <c r="A219" s="1">
        <v>1218</v>
      </c>
      <c r="B219" s="1" t="s">
        <v>304</v>
      </c>
      <c r="C219" s="1" t="s">
        <v>213</v>
      </c>
      <c r="D219" s="1" t="s">
        <v>220</v>
      </c>
      <c r="E219" s="1" t="s">
        <v>85</v>
      </c>
      <c r="F219" s="1" t="s">
        <v>225</v>
      </c>
      <c r="G219" s="1" t="s">
        <v>236</v>
      </c>
      <c r="H219" s="1" t="s">
        <v>234</v>
      </c>
      <c r="I219" s="1">
        <v>3</v>
      </c>
      <c r="J219" s="1">
        <v>17663</v>
      </c>
      <c r="K219" s="1">
        <v>52989</v>
      </c>
      <c r="L219" s="1" t="s">
        <v>240</v>
      </c>
      <c r="M219" s="1">
        <v>0</v>
      </c>
      <c r="N219" s="1">
        <v>6222.88</v>
      </c>
    </row>
    <row r="220" spans="1:14" x14ac:dyDescent="0.25">
      <c r="A220" s="1">
        <v>1219</v>
      </c>
      <c r="B220" s="1" t="s">
        <v>304</v>
      </c>
      <c r="C220" s="1" t="s">
        <v>213</v>
      </c>
      <c r="D220" s="1" t="s">
        <v>245</v>
      </c>
      <c r="E220" s="1" t="s">
        <v>124</v>
      </c>
      <c r="F220" s="1" t="s">
        <v>225</v>
      </c>
      <c r="G220" s="1" t="s">
        <v>226</v>
      </c>
      <c r="H220" s="1" t="s">
        <v>221</v>
      </c>
      <c r="I220" s="1">
        <v>4</v>
      </c>
      <c r="J220" s="1">
        <v>6912</v>
      </c>
      <c r="K220" s="1">
        <v>23500.799999999999</v>
      </c>
      <c r="L220" s="1" t="s">
        <v>240</v>
      </c>
      <c r="M220" s="1">
        <v>15</v>
      </c>
      <c r="N220" s="1">
        <v>6159.08</v>
      </c>
    </row>
    <row r="221" spans="1:14" x14ac:dyDescent="0.25">
      <c r="A221" s="1">
        <v>1220</v>
      </c>
      <c r="B221" s="1" t="s">
        <v>304</v>
      </c>
      <c r="C221" s="1" t="s">
        <v>213</v>
      </c>
      <c r="D221" s="1" t="s">
        <v>220</v>
      </c>
      <c r="E221" s="1" t="s">
        <v>85</v>
      </c>
      <c r="F221" s="1" t="s">
        <v>215</v>
      </c>
      <c r="G221" s="1" t="s">
        <v>246</v>
      </c>
      <c r="H221" s="1" t="s">
        <v>217</v>
      </c>
      <c r="I221" s="1">
        <v>3</v>
      </c>
      <c r="J221" s="1">
        <v>49840</v>
      </c>
      <c r="K221" s="1">
        <v>134568</v>
      </c>
      <c r="L221" s="1" t="s">
        <v>222</v>
      </c>
      <c r="M221" s="1">
        <v>10</v>
      </c>
      <c r="N221" s="1">
        <v>29208.43</v>
      </c>
    </row>
    <row r="222" spans="1:14" x14ac:dyDescent="0.25">
      <c r="A222" s="1">
        <v>1221</v>
      </c>
      <c r="B222" s="1" t="s">
        <v>304</v>
      </c>
      <c r="C222" s="1" t="s">
        <v>223</v>
      </c>
      <c r="D222" s="1" t="s">
        <v>214</v>
      </c>
      <c r="E222" s="1" t="s">
        <v>124</v>
      </c>
      <c r="F222" s="1" t="s">
        <v>225</v>
      </c>
      <c r="G222" s="1" t="s">
        <v>248</v>
      </c>
      <c r="H222" s="1" t="s">
        <v>128</v>
      </c>
      <c r="I222" s="1">
        <v>2</v>
      </c>
      <c r="J222" s="1">
        <v>28095</v>
      </c>
      <c r="K222" s="1">
        <v>47761.5</v>
      </c>
      <c r="L222" s="1" t="s">
        <v>222</v>
      </c>
      <c r="M222" s="1">
        <v>15</v>
      </c>
      <c r="N222" s="1">
        <v>7160.51</v>
      </c>
    </row>
    <row r="223" spans="1:14" x14ac:dyDescent="0.25">
      <c r="A223" s="1">
        <v>1222</v>
      </c>
      <c r="B223" s="1" t="s">
        <v>305</v>
      </c>
      <c r="C223" s="1" t="s">
        <v>239</v>
      </c>
      <c r="D223" s="1" t="s">
        <v>245</v>
      </c>
      <c r="E223" s="1" t="s">
        <v>124</v>
      </c>
      <c r="F223" s="1" t="s">
        <v>215</v>
      </c>
      <c r="G223" s="1" t="s">
        <v>244</v>
      </c>
      <c r="H223" s="1" t="s">
        <v>221</v>
      </c>
      <c r="I223" s="1">
        <v>5</v>
      </c>
      <c r="J223" s="1">
        <v>33092</v>
      </c>
      <c r="K223" s="1">
        <v>148914</v>
      </c>
      <c r="L223" s="1" t="s">
        <v>218</v>
      </c>
      <c r="M223" s="1">
        <v>10</v>
      </c>
      <c r="N223" s="1">
        <v>18866.05</v>
      </c>
    </row>
    <row r="224" spans="1:14" x14ac:dyDescent="0.25">
      <c r="A224" s="1">
        <v>1223</v>
      </c>
      <c r="B224" s="1" t="s">
        <v>305</v>
      </c>
      <c r="C224" s="1" t="s">
        <v>213</v>
      </c>
      <c r="D224" s="1" t="s">
        <v>220</v>
      </c>
      <c r="E224" s="1" t="s">
        <v>85</v>
      </c>
      <c r="F224" s="1" t="s">
        <v>225</v>
      </c>
      <c r="G224" s="1" t="s">
        <v>226</v>
      </c>
      <c r="H224" s="1" t="s">
        <v>217</v>
      </c>
      <c r="I224" s="1">
        <v>1</v>
      </c>
      <c r="J224" s="1">
        <v>48226</v>
      </c>
      <c r="K224" s="1">
        <v>45814.7</v>
      </c>
      <c r="L224" s="1" t="s">
        <v>218</v>
      </c>
      <c r="M224" s="1">
        <v>5</v>
      </c>
      <c r="N224" s="1">
        <v>7133.23</v>
      </c>
    </row>
    <row r="225" spans="1:14" x14ac:dyDescent="0.25">
      <c r="A225" s="1">
        <v>1224</v>
      </c>
      <c r="B225" s="1" t="s">
        <v>305</v>
      </c>
      <c r="C225" s="1" t="s">
        <v>239</v>
      </c>
      <c r="D225" s="1" t="s">
        <v>220</v>
      </c>
      <c r="E225" s="1" t="s">
        <v>85</v>
      </c>
      <c r="F225" s="1" t="s">
        <v>230</v>
      </c>
      <c r="G225" s="1" t="s">
        <v>231</v>
      </c>
      <c r="H225" s="1" t="s">
        <v>128</v>
      </c>
      <c r="I225" s="1">
        <v>3</v>
      </c>
      <c r="J225" s="1">
        <v>27404</v>
      </c>
      <c r="K225" s="1">
        <v>73990.8</v>
      </c>
      <c r="L225" s="1" t="s">
        <v>222</v>
      </c>
      <c r="M225" s="1">
        <v>10</v>
      </c>
      <c r="N225" s="1">
        <v>20068.150000000001</v>
      </c>
    </row>
    <row r="226" spans="1:14" x14ac:dyDescent="0.25">
      <c r="A226" s="1">
        <v>1225</v>
      </c>
      <c r="B226" s="1" t="s">
        <v>306</v>
      </c>
      <c r="C226" s="1" t="s">
        <v>213</v>
      </c>
      <c r="D226" s="1" t="s">
        <v>245</v>
      </c>
      <c r="E226" s="1" t="s">
        <v>124</v>
      </c>
      <c r="F226" s="1" t="s">
        <v>225</v>
      </c>
      <c r="G226" s="1" t="s">
        <v>236</v>
      </c>
      <c r="H226" s="1" t="s">
        <v>234</v>
      </c>
      <c r="I226" s="1">
        <v>4</v>
      </c>
      <c r="J226" s="1">
        <v>38138</v>
      </c>
      <c r="K226" s="1">
        <v>144924.4</v>
      </c>
      <c r="L226" s="1" t="s">
        <v>240</v>
      </c>
      <c r="M226" s="1">
        <v>5</v>
      </c>
      <c r="N226" s="1">
        <v>27959.98</v>
      </c>
    </row>
    <row r="227" spans="1:14" x14ac:dyDescent="0.25">
      <c r="A227" s="1">
        <v>1226</v>
      </c>
      <c r="B227" s="1" t="s">
        <v>306</v>
      </c>
      <c r="C227" s="1" t="s">
        <v>223</v>
      </c>
      <c r="D227" s="1" t="s">
        <v>232</v>
      </c>
      <c r="E227" s="1" t="s">
        <v>233</v>
      </c>
      <c r="F227" s="1" t="s">
        <v>230</v>
      </c>
      <c r="G227" s="1" t="s">
        <v>242</v>
      </c>
      <c r="H227" s="1" t="s">
        <v>234</v>
      </c>
      <c r="I227" s="1">
        <v>5</v>
      </c>
      <c r="J227" s="1">
        <v>8598</v>
      </c>
      <c r="K227" s="1">
        <v>38691</v>
      </c>
      <c r="L227" s="1" t="s">
        <v>218</v>
      </c>
      <c r="M227" s="1">
        <v>10</v>
      </c>
      <c r="N227" s="1">
        <v>10818.02</v>
      </c>
    </row>
    <row r="228" spans="1:14" x14ac:dyDescent="0.25">
      <c r="A228" s="1">
        <v>1227</v>
      </c>
      <c r="B228" s="1" t="s">
        <v>306</v>
      </c>
      <c r="C228" s="1" t="s">
        <v>213</v>
      </c>
      <c r="D228" s="1" t="s">
        <v>214</v>
      </c>
      <c r="E228" s="1" t="s">
        <v>124</v>
      </c>
      <c r="F228" s="1" t="s">
        <v>230</v>
      </c>
      <c r="G228" s="1" t="s">
        <v>241</v>
      </c>
      <c r="H228" s="1" t="s">
        <v>128</v>
      </c>
      <c r="I228" s="1">
        <v>5</v>
      </c>
      <c r="J228" s="1">
        <v>40139</v>
      </c>
      <c r="K228" s="1">
        <v>170590.75</v>
      </c>
      <c r="L228" s="1" t="s">
        <v>227</v>
      </c>
      <c r="M228" s="1">
        <v>15</v>
      </c>
      <c r="N228" s="1">
        <v>19839.95</v>
      </c>
    </row>
    <row r="229" spans="1:14" x14ac:dyDescent="0.25">
      <c r="A229" s="1">
        <v>1228</v>
      </c>
      <c r="B229" s="1" t="s">
        <v>306</v>
      </c>
      <c r="C229" s="1" t="s">
        <v>239</v>
      </c>
      <c r="D229" s="1" t="s">
        <v>214</v>
      </c>
      <c r="E229" s="1" t="s">
        <v>124</v>
      </c>
      <c r="F229" s="1" t="s">
        <v>215</v>
      </c>
      <c r="G229" s="1" t="s">
        <v>244</v>
      </c>
      <c r="H229" s="1" t="s">
        <v>128</v>
      </c>
      <c r="I229" s="1">
        <v>1</v>
      </c>
      <c r="J229" s="1">
        <v>23529</v>
      </c>
      <c r="K229" s="1">
        <v>22352.55</v>
      </c>
      <c r="L229" s="1" t="s">
        <v>240</v>
      </c>
      <c r="M229" s="1">
        <v>5</v>
      </c>
      <c r="N229" s="1">
        <v>3348.42</v>
      </c>
    </row>
    <row r="230" spans="1:14" x14ac:dyDescent="0.25">
      <c r="A230" s="1">
        <v>1229</v>
      </c>
      <c r="B230" s="1" t="s">
        <v>306</v>
      </c>
      <c r="C230" s="1" t="s">
        <v>223</v>
      </c>
      <c r="D230" s="1" t="s">
        <v>224</v>
      </c>
      <c r="E230" s="1" t="s">
        <v>233</v>
      </c>
      <c r="F230" s="1" t="s">
        <v>225</v>
      </c>
      <c r="G230" s="1" t="s">
        <v>226</v>
      </c>
      <c r="H230" s="1" t="s">
        <v>234</v>
      </c>
      <c r="I230" s="1">
        <v>4</v>
      </c>
      <c r="J230" s="1">
        <v>4459</v>
      </c>
      <c r="K230" s="1">
        <v>16052.4</v>
      </c>
      <c r="L230" s="1" t="s">
        <v>227</v>
      </c>
      <c r="M230" s="1">
        <v>10</v>
      </c>
      <c r="N230" s="1">
        <v>3296.33</v>
      </c>
    </row>
    <row r="231" spans="1:14" x14ac:dyDescent="0.25">
      <c r="A231" s="1">
        <v>1230</v>
      </c>
      <c r="B231" s="1" t="s">
        <v>307</v>
      </c>
      <c r="C231" s="1" t="s">
        <v>229</v>
      </c>
      <c r="D231" s="1" t="s">
        <v>245</v>
      </c>
      <c r="E231" s="1" t="s">
        <v>124</v>
      </c>
      <c r="F231" s="1" t="s">
        <v>215</v>
      </c>
      <c r="G231" s="1" t="s">
        <v>216</v>
      </c>
      <c r="H231" s="1" t="s">
        <v>234</v>
      </c>
      <c r="I231" s="1">
        <v>1</v>
      </c>
      <c r="J231" s="1">
        <v>10525</v>
      </c>
      <c r="K231" s="1">
        <v>8946.25</v>
      </c>
      <c r="L231" s="1" t="s">
        <v>240</v>
      </c>
      <c r="M231" s="1">
        <v>15</v>
      </c>
      <c r="N231" s="1">
        <v>2307.61</v>
      </c>
    </row>
    <row r="232" spans="1:14" x14ac:dyDescent="0.25">
      <c r="A232" s="1">
        <v>1231</v>
      </c>
      <c r="B232" s="1" t="s">
        <v>307</v>
      </c>
      <c r="C232" s="1" t="s">
        <v>229</v>
      </c>
      <c r="D232" s="1" t="s">
        <v>245</v>
      </c>
      <c r="E232" s="1" t="s">
        <v>124</v>
      </c>
      <c r="F232" s="1" t="s">
        <v>225</v>
      </c>
      <c r="G232" s="1" t="s">
        <v>226</v>
      </c>
      <c r="H232" s="1" t="s">
        <v>128</v>
      </c>
      <c r="I232" s="1">
        <v>2</v>
      </c>
      <c r="J232" s="1">
        <v>35999</v>
      </c>
      <c r="K232" s="1">
        <v>64798.2</v>
      </c>
      <c r="L232" s="1" t="s">
        <v>227</v>
      </c>
      <c r="M232" s="1">
        <v>10</v>
      </c>
      <c r="N232" s="1">
        <v>14861.13</v>
      </c>
    </row>
    <row r="233" spans="1:14" x14ac:dyDescent="0.25">
      <c r="A233" s="1">
        <v>1232</v>
      </c>
      <c r="B233" s="1" t="s">
        <v>307</v>
      </c>
      <c r="C233" s="1" t="s">
        <v>223</v>
      </c>
      <c r="D233" s="1" t="s">
        <v>245</v>
      </c>
      <c r="E233" s="1" t="s">
        <v>124</v>
      </c>
      <c r="F233" s="1" t="s">
        <v>215</v>
      </c>
      <c r="G233" s="1" t="s">
        <v>244</v>
      </c>
      <c r="H233" s="1" t="s">
        <v>128</v>
      </c>
      <c r="I233" s="1">
        <v>1</v>
      </c>
      <c r="J233" s="1">
        <v>22698</v>
      </c>
      <c r="K233" s="1">
        <v>20428.2</v>
      </c>
      <c r="L233" s="1" t="s">
        <v>227</v>
      </c>
      <c r="M233" s="1">
        <v>10</v>
      </c>
      <c r="N233" s="1">
        <v>5878.36</v>
      </c>
    </row>
    <row r="234" spans="1:14" x14ac:dyDescent="0.25">
      <c r="A234" s="1">
        <v>1233</v>
      </c>
      <c r="B234" s="1" t="s">
        <v>308</v>
      </c>
      <c r="C234" s="1" t="s">
        <v>229</v>
      </c>
      <c r="D234" s="1" t="s">
        <v>214</v>
      </c>
      <c r="E234" s="1" t="s">
        <v>124</v>
      </c>
      <c r="F234" s="1" t="s">
        <v>230</v>
      </c>
      <c r="G234" s="1" t="s">
        <v>241</v>
      </c>
      <c r="H234" s="1" t="s">
        <v>128</v>
      </c>
      <c r="I234" s="1">
        <v>3</v>
      </c>
      <c r="J234" s="1">
        <v>6306</v>
      </c>
      <c r="K234" s="1">
        <v>18918</v>
      </c>
      <c r="L234" s="1" t="s">
        <v>227</v>
      </c>
      <c r="M234" s="1">
        <v>0</v>
      </c>
      <c r="N234" s="1">
        <v>3502.13</v>
      </c>
    </row>
    <row r="235" spans="1:14" x14ac:dyDescent="0.25">
      <c r="A235" s="1">
        <v>1234</v>
      </c>
      <c r="B235" s="1" t="s">
        <v>308</v>
      </c>
      <c r="C235" s="1" t="s">
        <v>223</v>
      </c>
      <c r="D235" s="1" t="s">
        <v>214</v>
      </c>
      <c r="E235" s="1" t="s">
        <v>124</v>
      </c>
      <c r="F235" s="1" t="s">
        <v>230</v>
      </c>
      <c r="G235" s="1" t="s">
        <v>242</v>
      </c>
      <c r="H235" s="1" t="s">
        <v>221</v>
      </c>
      <c r="I235" s="1">
        <v>1</v>
      </c>
      <c r="J235" s="1">
        <v>30939</v>
      </c>
      <c r="K235" s="1">
        <v>30939</v>
      </c>
      <c r="L235" s="1" t="s">
        <v>240</v>
      </c>
      <c r="M235" s="1">
        <v>0</v>
      </c>
      <c r="N235" s="1">
        <v>7361.12</v>
      </c>
    </row>
    <row r="236" spans="1:14" x14ac:dyDescent="0.25">
      <c r="A236" s="1">
        <v>1235</v>
      </c>
      <c r="B236" s="1" t="s">
        <v>308</v>
      </c>
      <c r="C236" s="1" t="s">
        <v>219</v>
      </c>
      <c r="D236" s="1" t="s">
        <v>220</v>
      </c>
      <c r="E236" s="1" t="s">
        <v>85</v>
      </c>
      <c r="F236" s="1" t="s">
        <v>215</v>
      </c>
      <c r="G236" s="1" t="s">
        <v>244</v>
      </c>
      <c r="H236" s="1" t="s">
        <v>221</v>
      </c>
      <c r="I236" s="1">
        <v>2</v>
      </c>
      <c r="J236" s="1">
        <v>878</v>
      </c>
      <c r="K236" s="1">
        <v>1580.4</v>
      </c>
      <c r="L236" s="1" t="s">
        <v>240</v>
      </c>
      <c r="M236" s="1">
        <v>10</v>
      </c>
      <c r="N236" s="1">
        <v>444.88</v>
      </c>
    </row>
    <row r="237" spans="1:14" x14ac:dyDescent="0.25">
      <c r="A237" s="1">
        <v>1236</v>
      </c>
      <c r="B237" s="1" t="s">
        <v>309</v>
      </c>
      <c r="C237" s="1" t="s">
        <v>223</v>
      </c>
      <c r="D237" s="1" t="s">
        <v>214</v>
      </c>
      <c r="E237" s="1" t="s">
        <v>124</v>
      </c>
      <c r="F237" s="1" t="s">
        <v>230</v>
      </c>
      <c r="G237" s="1" t="s">
        <v>241</v>
      </c>
      <c r="H237" s="1" t="s">
        <v>234</v>
      </c>
      <c r="I237" s="1">
        <v>4</v>
      </c>
      <c r="J237" s="1">
        <v>13505</v>
      </c>
      <c r="K237" s="1">
        <v>48618</v>
      </c>
      <c r="L237" s="1" t="s">
        <v>222</v>
      </c>
      <c r="M237" s="1">
        <v>10</v>
      </c>
      <c r="N237" s="1">
        <v>12882.58</v>
      </c>
    </row>
    <row r="238" spans="1:14" x14ac:dyDescent="0.25">
      <c r="A238" s="1">
        <v>1237</v>
      </c>
      <c r="B238" s="1" t="s">
        <v>309</v>
      </c>
      <c r="C238" s="1" t="s">
        <v>239</v>
      </c>
      <c r="D238" s="1" t="s">
        <v>220</v>
      </c>
      <c r="E238" s="1" t="s">
        <v>85</v>
      </c>
      <c r="F238" s="1" t="s">
        <v>225</v>
      </c>
      <c r="G238" s="1" t="s">
        <v>248</v>
      </c>
      <c r="H238" s="1" t="s">
        <v>234</v>
      </c>
      <c r="I238" s="1">
        <v>1</v>
      </c>
      <c r="J238" s="1">
        <v>7024</v>
      </c>
      <c r="K238" s="1">
        <v>6321.6</v>
      </c>
      <c r="L238" s="1" t="s">
        <v>222</v>
      </c>
      <c r="M238" s="1">
        <v>10</v>
      </c>
      <c r="N238" s="1">
        <v>1131.8699999999999</v>
      </c>
    </row>
    <row r="239" spans="1:14" x14ac:dyDescent="0.25">
      <c r="A239" s="1">
        <v>1238</v>
      </c>
      <c r="B239" s="1" t="s">
        <v>309</v>
      </c>
      <c r="C239" s="1" t="s">
        <v>219</v>
      </c>
      <c r="D239" s="1" t="s">
        <v>232</v>
      </c>
      <c r="E239" s="1" t="s">
        <v>233</v>
      </c>
      <c r="F239" s="1" t="s">
        <v>215</v>
      </c>
      <c r="G239" s="1" t="s">
        <v>244</v>
      </c>
      <c r="H239" s="1" t="s">
        <v>221</v>
      </c>
      <c r="I239" s="1">
        <v>4</v>
      </c>
      <c r="J239" s="1">
        <v>17550</v>
      </c>
      <c r="K239" s="1">
        <v>70200</v>
      </c>
      <c r="L239" s="1" t="s">
        <v>227</v>
      </c>
      <c r="M239" s="1">
        <v>0</v>
      </c>
      <c r="N239" s="1">
        <v>8532.5300000000007</v>
      </c>
    </row>
    <row r="240" spans="1:14" x14ac:dyDescent="0.25">
      <c r="A240" s="1">
        <v>1239</v>
      </c>
      <c r="B240" s="1" t="s">
        <v>310</v>
      </c>
      <c r="C240" s="1" t="s">
        <v>219</v>
      </c>
      <c r="D240" s="1" t="s">
        <v>220</v>
      </c>
      <c r="E240" s="1" t="s">
        <v>85</v>
      </c>
      <c r="F240" s="1" t="s">
        <v>225</v>
      </c>
      <c r="G240" s="1" t="s">
        <v>248</v>
      </c>
      <c r="H240" s="1" t="s">
        <v>234</v>
      </c>
      <c r="I240" s="1">
        <v>5</v>
      </c>
      <c r="J240" s="1">
        <v>7600</v>
      </c>
      <c r="K240" s="1">
        <v>32300</v>
      </c>
      <c r="L240" s="1" t="s">
        <v>240</v>
      </c>
      <c r="M240" s="1">
        <v>15</v>
      </c>
      <c r="N240" s="1">
        <v>3523.67</v>
      </c>
    </row>
    <row r="241" spans="1:14" x14ac:dyDescent="0.25">
      <c r="A241" s="1">
        <v>1240</v>
      </c>
      <c r="B241" s="1" t="s">
        <v>310</v>
      </c>
      <c r="C241" s="1" t="s">
        <v>229</v>
      </c>
      <c r="D241" s="1" t="s">
        <v>220</v>
      </c>
      <c r="E241" s="1" t="s">
        <v>85</v>
      </c>
      <c r="F241" s="1" t="s">
        <v>215</v>
      </c>
      <c r="G241" s="1" t="s">
        <v>216</v>
      </c>
      <c r="H241" s="1" t="s">
        <v>128</v>
      </c>
      <c r="I241" s="1">
        <v>2</v>
      </c>
      <c r="J241" s="1">
        <v>20751</v>
      </c>
      <c r="K241" s="1">
        <v>39426.9</v>
      </c>
      <c r="L241" s="1" t="s">
        <v>227</v>
      </c>
      <c r="M241" s="1">
        <v>5</v>
      </c>
      <c r="N241" s="1">
        <v>4883.53</v>
      </c>
    </row>
    <row r="242" spans="1:14" x14ac:dyDescent="0.25">
      <c r="A242" s="1">
        <v>1241</v>
      </c>
      <c r="B242" s="1" t="s">
        <v>310</v>
      </c>
      <c r="C242" s="1" t="s">
        <v>239</v>
      </c>
      <c r="D242" s="1" t="s">
        <v>245</v>
      </c>
      <c r="E242" s="1" t="s">
        <v>124</v>
      </c>
      <c r="F242" s="1" t="s">
        <v>230</v>
      </c>
      <c r="G242" s="1" t="s">
        <v>241</v>
      </c>
      <c r="H242" s="1" t="s">
        <v>128</v>
      </c>
      <c r="I242" s="1">
        <v>5</v>
      </c>
      <c r="J242" s="1">
        <v>5064</v>
      </c>
      <c r="K242" s="1">
        <v>22788</v>
      </c>
      <c r="L242" s="1" t="s">
        <v>218</v>
      </c>
      <c r="M242" s="1">
        <v>10</v>
      </c>
      <c r="N242" s="1">
        <v>6121.06</v>
      </c>
    </row>
    <row r="243" spans="1:14" x14ac:dyDescent="0.25">
      <c r="A243" s="1">
        <v>1242</v>
      </c>
      <c r="B243" s="1" t="s">
        <v>311</v>
      </c>
      <c r="C243" s="1" t="s">
        <v>229</v>
      </c>
      <c r="D243" s="1" t="s">
        <v>245</v>
      </c>
      <c r="E243" s="1" t="s">
        <v>124</v>
      </c>
      <c r="F243" s="1" t="s">
        <v>215</v>
      </c>
      <c r="G243" s="1" t="s">
        <v>246</v>
      </c>
      <c r="H243" s="1" t="s">
        <v>128</v>
      </c>
      <c r="I243" s="1">
        <v>3</v>
      </c>
      <c r="J243" s="1">
        <v>48497</v>
      </c>
      <c r="K243" s="1">
        <v>130941.9</v>
      </c>
      <c r="L243" s="1" t="s">
        <v>227</v>
      </c>
      <c r="M243" s="1">
        <v>10</v>
      </c>
      <c r="N243" s="1">
        <v>27272.38</v>
      </c>
    </row>
    <row r="244" spans="1:14" x14ac:dyDescent="0.25">
      <c r="A244" s="1">
        <v>1243</v>
      </c>
      <c r="B244" s="1" t="s">
        <v>311</v>
      </c>
      <c r="C244" s="1" t="s">
        <v>239</v>
      </c>
      <c r="D244" s="1" t="s">
        <v>245</v>
      </c>
      <c r="E244" s="1" t="s">
        <v>124</v>
      </c>
      <c r="F244" s="1" t="s">
        <v>225</v>
      </c>
      <c r="G244" s="1" t="s">
        <v>248</v>
      </c>
      <c r="H244" s="1" t="s">
        <v>128</v>
      </c>
      <c r="I244" s="1">
        <v>2</v>
      </c>
      <c r="J244" s="1">
        <v>34621</v>
      </c>
      <c r="K244" s="1">
        <v>58855.7</v>
      </c>
      <c r="L244" s="1" t="s">
        <v>222</v>
      </c>
      <c r="M244" s="1">
        <v>15</v>
      </c>
      <c r="N244" s="1">
        <v>15502.46</v>
      </c>
    </row>
    <row r="245" spans="1:14" x14ac:dyDescent="0.25">
      <c r="A245" s="1">
        <v>1244</v>
      </c>
      <c r="B245" s="1" t="s">
        <v>312</v>
      </c>
      <c r="C245" s="1" t="s">
        <v>219</v>
      </c>
      <c r="D245" s="1" t="s">
        <v>220</v>
      </c>
      <c r="E245" s="1" t="s">
        <v>85</v>
      </c>
      <c r="F245" s="1" t="s">
        <v>225</v>
      </c>
      <c r="G245" s="1" t="s">
        <v>248</v>
      </c>
      <c r="H245" s="1" t="s">
        <v>217</v>
      </c>
      <c r="I245" s="1">
        <v>1</v>
      </c>
      <c r="J245" s="1">
        <v>34110</v>
      </c>
      <c r="K245" s="1">
        <v>28993.5</v>
      </c>
      <c r="L245" s="1" t="s">
        <v>222</v>
      </c>
      <c r="M245" s="1">
        <v>15</v>
      </c>
      <c r="N245" s="1">
        <v>3399.64</v>
      </c>
    </row>
    <row r="246" spans="1:14" x14ac:dyDescent="0.25">
      <c r="A246" s="1">
        <v>1245</v>
      </c>
      <c r="B246" s="1" t="s">
        <v>312</v>
      </c>
      <c r="C246" s="1" t="s">
        <v>219</v>
      </c>
      <c r="D246" s="1" t="s">
        <v>214</v>
      </c>
      <c r="E246" s="1" t="s">
        <v>124</v>
      </c>
      <c r="F246" s="1" t="s">
        <v>215</v>
      </c>
      <c r="G246" s="1" t="s">
        <v>246</v>
      </c>
      <c r="H246" s="1" t="s">
        <v>128</v>
      </c>
      <c r="I246" s="1">
        <v>4</v>
      </c>
      <c r="J246" s="1">
        <v>27187</v>
      </c>
      <c r="K246" s="1">
        <v>108748</v>
      </c>
      <c r="L246" s="1" t="s">
        <v>240</v>
      </c>
      <c r="M246" s="1">
        <v>0</v>
      </c>
      <c r="N246" s="1">
        <v>16137.18</v>
      </c>
    </row>
    <row r="247" spans="1:14" x14ac:dyDescent="0.25">
      <c r="A247" s="1">
        <v>1246</v>
      </c>
      <c r="B247" s="1" t="s">
        <v>313</v>
      </c>
      <c r="C247" s="1" t="s">
        <v>219</v>
      </c>
      <c r="D247" s="1" t="s">
        <v>232</v>
      </c>
      <c r="E247" s="1" t="s">
        <v>233</v>
      </c>
      <c r="F247" s="1" t="s">
        <v>230</v>
      </c>
      <c r="G247" s="1" t="s">
        <v>242</v>
      </c>
      <c r="H247" s="1" t="s">
        <v>217</v>
      </c>
      <c r="I247" s="1">
        <v>1</v>
      </c>
      <c r="J247" s="1">
        <v>20667</v>
      </c>
      <c r="K247" s="1">
        <v>18600.3</v>
      </c>
      <c r="L247" s="1" t="s">
        <v>218</v>
      </c>
      <c r="M247" s="1">
        <v>10</v>
      </c>
      <c r="N247" s="1">
        <v>3747.15</v>
      </c>
    </row>
    <row r="248" spans="1:14" x14ac:dyDescent="0.25">
      <c r="A248" s="1">
        <v>1247</v>
      </c>
      <c r="B248" s="1" t="s">
        <v>313</v>
      </c>
      <c r="C248" s="1" t="s">
        <v>223</v>
      </c>
      <c r="D248" s="1" t="s">
        <v>224</v>
      </c>
      <c r="E248" s="1" t="s">
        <v>233</v>
      </c>
      <c r="F248" s="1" t="s">
        <v>215</v>
      </c>
      <c r="G248" s="1" t="s">
        <v>216</v>
      </c>
      <c r="H248" s="1" t="s">
        <v>217</v>
      </c>
      <c r="I248" s="1">
        <v>3</v>
      </c>
      <c r="J248" s="1">
        <v>37533</v>
      </c>
      <c r="K248" s="1">
        <v>112599</v>
      </c>
      <c r="L248" s="1" t="s">
        <v>222</v>
      </c>
      <c r="M248" s="1">
        <v>0</v>
      </c>
      <c r="N248" s="1">
        <v>22294.720000000001</v>
      </c>
    </row>
    <row r="249" spans="1:14" x14ac:dyDescent="0.25">
      <c r="A249" s="1">
        <v>1248</v>
      </c>
      <c r="B249" s="1" t="s">
        <v>313</v>
      </c>
      <c r="C249" s="1" t="s">
        <v>239</v>
      </c>
      <c r="D249" s="1" t="s">
        <v>214</v>
      </c>
      <c r="E249" s="1" t="s">
        <v>124</v>
      </c>
      <c r="F249" s="1" t="s">
        <v>225</v>
      </c>
      <c r="G249" s="1" t="s">
        <v>236</v>
      </c>
      <c r="H249" s="1" t="s">
        <v>128</v>
      </c>
      <c r="I249" s="1">
        <v>5</v>
      </c>
      <c r="J249" s="1">
        <v>24267</v>
      </c>
      <c r="K249" s="1">
        <v>115268.25</v>
      </c>
      <c r="L249" s="1" t="s">
        <v>240</v>
      </c>
      <c r="M249" s="1">
        <v>5</v>
      </c>
      <c r="N249" s="1">
        <v>33224.69</v>
      </c>
    </row>
    <row r="250" spans="1:14" x14ac:dyDescent="0.25">
      <c r="A250" s="1">
        <v>1249</v>
      </c>
      <c r="B250" s="1" t="s">
        <v>313</v>
      </c>
      <c r="C250" s="1" t="s">
        <v>213</v>
      </c>
      <c r="D250" s="1" t="s">
        <v>232</v>
      </c>
      <c r="E250" s="1" t="s">
        <v>233</v>
      </c>
      <c r="F250" s="1" t="s">
        <v>225</v>
      </c>
      <c r="G250" s="1" t="s">
        <v>236</v>
      </c>
      <c r="H250" s="1" t="s">
        <v>221</v>
      </c>
      <c r="I250" s="1">
        <v>5</v>
      </c>
      <c r="J250" s="1">
        <v>32069</v>
      </c>
      <c r="K250" s="1">
        <v>144310.5</v>
      </c>
      <c r="L250" s="1" t="s">
        <v>218</v>
      </c>
      <c r="M250" s="1">
        <v>10</v>
      </c>
      <c r="N250" s="1">
        <v>16045.47</v>
      </c>
    </row>
    <row r="251" spans="1:14" x14ac:dyDescent="0.25">
      <c r="A251" s="1">
        <v>1250</v>
      </c>
      <c r="B251" s="1" t="s">
        <v>314</v>
      </c>
      <c r="C251" s="1" t="s">
        <v>213</v>
      </c>
      <c r="D251" s="1" t="s">
        <v>220</v>
      </c>
      <c r="E251" s="1" t="s">
        <v>85</v>
      </c>
      <c r="F251" s="1" t="s">
        <v>230</v>
      </c>
      <c r="G251" s="1" t="s">
        <v>241</v>
      </c>
      <c r="H251" s="1" t="s">
        <v>234</v>
      </c>
      <c r="I251" s="1">
        <v>2</v>
      </c>
      <c r="J251" s="1">
        <v>35689</v>
      </c>
      <c r="K251" s="1">
        <v>71378</v>
      </c>
      <c r="L251" s="1" t="s">
        <v>222</v>
      </c>
      <c r="M251" s="1">
        <v>0</v>
      </c>
      <c r="N251" s="1">
        <v>9343.69</v>
      </c>
    </row>
    <row r="252" spans="1:14" x14ac:dyDescent="0.25">
      <c r="A252" s="1">
        <v>1251</v>
      </c>
      <c r="B252" s="1" t="s">
        <v>314</v>
      </c>
      <c r="C252" s="1" t="s">
        <v>239</v>
      </c>
      <c r="D252" s="1" t="s">
        <v>220</v>
      </c>
      <c r="E252" s="1" t="s">
        <v>85</v>
      </c>
      <c r="F252" s="1" t="s">
        <v>225</v>
      </c>
      <c r="G252" s="1" t="s">
        <v>236</v>
      </c>
      <c r="H252" s="1" t="s">
        <v>217</v>
      </c>
      <c r="I252" s="1">
        <v>2</v>
      </c>
      <c r="J252" s="1">
        <v>4090</v>
      </c>
      <c r="K252" s="1">
        <v>8180</v>
      </c>
      <c r="L252" s="1" t="s">
        <v>240</v>
      </c>
      <c r="M252" s="1">
        <v>0</v>
      </c>
      <c r="N252" s="1">
        <v>961.66</v>
      </c>
    </row>
    <row r="253" spans="1:14" x14ac:dyDescent="0.25">
      <c r="A253" s="1">
        <v>1252</v>
      </c>
      <c r="B253" s="1" t="s">
        <v>315</v>
      </c>
      <c r="C253" s="1" t="s">
        <v>223</v>
      </c>
      <c r="D253" s="1" t="s">
        <v>224</v>
      </c>
      <c r="E253" s="1" t="s">
        <v>233</v>
      </c>
      <c r="F253" s="1" t="s">
        <v>215</v>
      </c>
      <c r="G253" s="1" t="s">
        <v>244</v>
      </c>
      <c r="H253" s="1" t="s">
        <v>128</v>
      </c>
      <c r="I253" s="1">
        <v>4</v>
      </c>
      <c r="J253" s="1">
        <v>9014</v>
      </c>
      <c r="K253" s="1">
        <v>30647.599999999999</v>
      </c>
      <c r="L253" s="1" t="s">
        <v>240</v>
      </c>
      <c r="M253" s="1">
        <v>15</v>
      </c>
      <c r="N253" s="1">
        <v>7179.11</v>
      </c>
    </row>
    <row r="254" spans="1:14" x14ac:dyDescent="0.25">
      <c r="A254" s="1">
        <v>1253</v>
      </c>
      <c r="B254" s="1" t="s">
        <v>315</v>
      </c>
      <c r="C254" s="1" t="s">
        <v>229</v>
      </c>
      <c r="D254" s="1" t="s">
        <v>214</v>
      </c>
      <c r="E254" s="1" t="s">
        <v>124</v>
      </c>
      <c r="F254" s="1" t="s">
        <v>225</v>
      </c>
      <c r="G254" s="1" t="s">
        <v>248</v>
      </c>
      <c r="H254" s="1" t="s">
        <v>128</v>
      </c>
      <c r="I254" s="1">
        <v>5</v>
      </c>
      <c r="J254" s="1">
        <v>46400</v>
      </c>
      <c r="K254" s="1">
        <v>197200</v>
      </c>
      <c r="L254" s="1" t="s">
        <v>222</v>
      </c>
      <c r="M254" s="1">
        <v>15</v>
      </c>
      <c r="N254" s="1">
        <v>56964.42</v>
      </c>
    </row>
    <row r="255" spans="1:14" x14ac:dyDescent="0.25">
      <c r="A255" s="1">
        <v>1254</v>
      </c>
      <c r="B255" s="1" t="s">
        <v>315</v>
      </c>
      <c r="C255" s="1" t="s">
        <v>239</v>
      </c>
      <c r="D255" s="1" t="s">
        <v>224</v>
      </c>
      <c r="E255" s="1" t="s">
        <v>233</v>
      </c>
      <c r="F255" s="1" t="s">
        <v>225</v>
      </c>
      <c r="G255" s="1" t="s">
        <v>236</v>
      </c>
      <c r="H255" s="1" t="s">
        <v>217</v>
      </c>
      <c r="I255" s="1">
        <v>1</v>
      </c>
      <c r="J255" s="1">
        <v>4670</v>
      </c>
      <c r="K255" s="1">
        <v>3969.5</v>
      </c>
      <c r="L255" s="1" t="s">
        <v>218</v>
      </c>
      <c r="M255" s="1">
        <v>15</v>
      </c>
      <c r="N255" s="1">
        <v>631.98</v>
      </c>
    </row>
    <row r="256" spans="1:14" x14ac:dyDescent="0.25">
      <c r="A256" s="1">
        <v>1255</v>
      </c>
      <c r="B256" s="1" t="s">
        <v>315</v>
      </c>
      <c r="C256" s="1" t="s">
        <v>219</v>
      </c>
      <c r="D256" s="1" t="s">
        <v>214</v>
      </c>
      <c r="E256" s="1" t="s">
        <v>124</v>
      </c>
      <c r="F256" s="1" t="s">
        <v>225</v>
      </c>
      <c r="G256" s="1" t="s">
        <v>226</v>
      </c>
      <c r="H256" s="1" t="s">
        <v>221</v>
      </c>
      <c r="I256" s="1">
        <v>1</v>
      </c>
      <c r="J256" s="1">
        <v>33007</v>
      </c>
      <c r="K256" s="1">
        <v>29706.3</v>
      </c>
      <c r="L256" s="1" t="s">
        <v>240</v>
      </c>
      <c r="M256" s="1">
        <v>10</v>
      </c>
      <c r="N256" s="1">
        <v>5674.61</v>
      </c>
    </row>
    <row r="257" spans="1:14" x14ac:dyDescent="0.25">
      <c r="A257" s="1">
        <v>1256</v>
      </c>
      <c r="B257" s="1" t="s">
        <v>315</v>
      </c>
      <c r="C257" s="1" t="s">
        <v>223</v>
      </c>
      <c r="D257" s="1" t="s">
        <v>220</v>
      </c>
      <c r="E257" s="1" t="s">
        <v>85</v>
      </c>
      <c r="F257" s="1" t="s">
        <v>230</v>
      </c>
      <c r="G257" s="1" t="s">
        <v>242</v>
      </c>
      <c r="H257" s="1" t="s">
        <v>234</v>
      </c>
      <c r="I257" s="1">
        <v>3</v>
      </c>
      <c r="J257" s="1">
        <v>36746</v>
      </c>
      <c r="K257" s="1">
        <v>104726.1</v>
      </c>
      <c r="L257" s="1" t="s">
        <v>218</v>
      </c>
      <c r="M257" s="1">
        <v>5</v>
      </c>
      <c r="N257" s="1">
        <v>12127.88</v>
      </c>
    </row>
    <row r="258" spans="1:14" x14ac:dyDescent="0.25">
      <c r="A258" s="1">
        <v>1257</v>
      </c>
      <c r="B258" s="1" t="s">
        <v>316</v>
      </c>
      <c r="C258" s="1" t="s">
        <v>223</v>
      </c>
      <c r="D258" s="1" t="s">
        <v>224</v>
      </c>
      <c r="E258" s="1" t="s">
        <v>233</v>
      </c>
      <c r="F258" s="1" t="s">
        <v>215</v>
      </c>
      <c r="G258" s="1" t="s">
        <v>216</v>
      </c>
      <c r="H258" s="1" t="s">
        <v>234</v>
      </c>
      <c r="I258" s="1">
        <v>3</v>
      </c>
      <c r="J258" s="1">
        <v>48939</v>
      </c>
      <c r="K258" s="1">
        <v>124794.45</v>
      </c>
      <c r="L258" s="1" t="s">
        <v>227</v>
      </c>
      <c r="M258" s="1">
        <v>15</v>
      </c>
      <c r="N258" s="1">
        <v>23402.1</v>
      </c>
    </row>
    <row r="259" spans="1:14" x14ac:dyDescent="0.25">
      <c r="A259" s="1">
        <v>1258</v>
      </c>
      <c r="B259" s="1" t="s">
        <v>316</v>
      </c>
      <c r="C259" s="1" t="s">
        <v>239</v>
      </c>
      <c r="D259" s="1" t="s">
        <v>214</v>
      </c>
      <c r="E259" s="1" t="s">
        <v>124</v>
      </c>
      <c r="F259" s="1" t="s">
        <v>215</v>
      </c>
      <c r="G259" s="1" t="s">
        <v>246</v>
      </c>
      <c r="H259" s="1" t="s">
        <v>128</v>
      </c>
      <c r="I259" s="1">
        <v>4</v>
      </c>
      <c r="J259" s="1">
        <v>46948</v>
      </c>
      <c r="K259" s="1">
        <v>178402.4</v>
      </c>
      <c r="L259" s="1" t="s">
        <v>222</v>
      </c>
      <c r="M259" s="1">
        <v>5</v>
      </c>
      <c r="N259" s="1">
        <v>26153.81</v>
      </c>
    </row>
    <row r="260" spans="1:14" x14ac:dyDescent="0.25">
      <c r="A260" s="1">
        <v>1259</v>
      </c>
      <c r="B260" s="1" t="s">
        <v>317</v>
      </c>
      <c r="C260" s="1" t="s">
        <v>239</v>
      </c>
      <c r="D260" s="1" t="s">
        <v>245</v>
      </c>
      <c r="E260" s="1" t="s">
        <v>124</v>
      </c>
      <c r="F260" s="1" t="s">
        <v>230</v>
      </c>
      <c r="G260" s="1" t="s">
        <v>231</v>
      </c>
      <c r="H260" s="1" t="s">
        <v>221</v>
      </c>
      <c r="I260" s="1">
        <v>3</v>
      </c>
      <c r="J260" s="1">
        <v>8087</v>
      </c>
      <c r="K260" s="1">
        <v>20621.849999999999</v>
      </c>
      <c r="L260" s="1" t="s">
        <v>227</v>
      </c>
      <c r="M260" s="1">
        <v>15</v>
      </c>
      <c r="N260" s="1">
        <v>2126.9699999999998</v>
      </c>
    </row>
    <row r="261" spans="1:14" x14ac:dyDescent="0.25">
      <c r="A261" s="1">
        <v>1260</v>
      </c>
      <c r="B261" s="1" t="s">
        <v>317</v>
      </c>
      <c r="C261" s="1" t="s">
        <v>219</v>
      </c>
      <c r="D261" s="1" t="s">
        <v>232</v>
      </c>
      <c r="E261" s="1" t="s">
        <v>233</v>
      </c>
      <c r="F261" s="1" t="s">
        <v>230</v>
      </c>
      <c r="G261" s="1" t="s">
        <v>242</v>
      </c>
      <c r="H261" s="1" t="s">
        <v>128</v>
      </c>
      <c r="I261" s="1">
        <v>5</v>
      </c>
      <c r="J261" s="1">
        <v>13155</v>
      </c>
      <c r="K261" s="1">
        <v>62486.25</v>
      </c>
      <c r="L261" s="1" t="s">
        <v>222</v>
      </c>
      <c r="M261" s="1">
        <v>5</v>
      </c>
      <c r="N261" s="1">
        <v>10276.1</v>
      </c>
    </row>
    <row r="262" spans="1:14" x14ac:dyDescent="0.25">
      <c r="A262" s="1">
        <v>1261</v>
      </c>
      <c r="B262" s="1" t="s">
        <v>317</v>
      </c>
      <c r="C262" s="1" t="s">
        <v>219</v>
      </c>
      <c r="D262" s="1" t="s">
        <v>224</v>
      </c>
      <c r="E262" s="1" t="s">
        <v>233</v>
      </c>
      <c r="F262" s="1" t="s">
        <v>230</v>
      </c>
      <c r="G262" s="1" t="s">
        <v>241</v>
      </c>
      <c r="H262" s="1" t="s">
        <v>234</v>
      </c>
      <c r="I262" s="1">
        <v>1</v>
      </c>
      <c r="J262" s="1">
        <v>46806</v>
      </c>
      <c r="K262" s="1">
        <v>44465.7</v>
      </c>
      <c r="L262" s="1" t="s">
        <v>227</v>
      </c>
      <c r="M262" s="1">
        <v>5</v>
      </c>
      <c r="N262" s="1">
        <v>5026.99</v>
      </c>
    </row>
    <row r="263" spans="1:14" x14ac:dyDescent="0.25">
      <c r="A263" s="1">
        <v>1262</v>
      </c>
      <c r="B263" s="1" t="s">
        <v>317</v>
      </c>
      <c r="C263" s="1" t="s">
        <v>213</v>
      </c>
      <c r="D263" s="1" t="s">
        <v>224</v>
      </c>
      <c r="E263" s="1" t="s">
        <v>233</v>
      </c>
      <c r="F263" s="1" t="s">
        <v>225</v>
      </c>
      <c r="G263" s="1" t="s">
        <v>226</v>
      </c>
      <c r="H263" s="1" t="s">
        <v>221</v>
      </c>
      <c r="I263" s="1">
        <v>3</v>
      </c>
      <c r="J263" s="1">
        <v>30473</v>
      </c>
      <c r="K263" s="1">
        <v>86848.05</v>
      </c>
      <c r="L263" s="1" t="s">
        <v>240</v>
      </c>
      <c r="M263" s="1">
        <v>5</v>
      </c>
      <c r="N263" s="1">
        <v>15407.92</v>
      </c>
    </row>
    <row r="264" spans="1:14" x14ac:dyDescent="0.25">
      <c r="A264" s="1">
        <v>1263</v>
      </c>
      <c r="B264" s="1" t="s">
        <v>318</v>
      </c>
      <c r="C264" s="1" t="s">
        <v>223</v>
      </c>
      <c r="D264" s="1" t="s">
        <v>224</v>
      </c>
      <c r="E264" s="1" t="s">
        <v>233</v>
      </c>
      <c r="F264" s="1" t="s">
        <v>230</v>
      </c>
      <c r="G264" s="1" t="s">
        <v>231</v>
      </c>
      <c r="H264" s="1" t="s">
        <v>128</v>
      </c>
      <c r="I264" s="1">
        <v>2</v>
      </c>
      <c r="J264" s="1">
        <v>29231</v>
      </c>
      <c r="K264" s="1">
        <v>58462</v>
      </c>
      <c r="L264" s="1" t="s">
        <v>240</v>
      </c>
      <c r="M264" s="1">
        <v>0</v>
      </c>
      <c r="N264" s="1">
        <v>17516.490000000002</v>
      </c>
    </row>
    <row r="265" spans="1:14" x14ac:dyDescent="0.25">
      <c r="A265" s="1">
        <v>1264</v>
      </c>
      <c r="B265" s="1" t="s">
        <v>318</v>
      </c>
      <c r="C265" s="1" t="s">
        <v>239</v>
      </c>
      <c r="D265" s="1" t="s">
        <v>214</v>
      </c>
      <c r="E265" s="1" t="s">
        <v>124</v>
      </c>
      <c r="F265" s="1" t="s">
        <v>225</v>
      </c>
      <c r="G265" s="1" t="s">
        <v>248</v>
      </c>
      <c r="H265" s="1" t="s">
        <v>217</v>
      </c>
      <c r="I265" s="1">
        <v>4</v>
      </c>
      <c r="J265" s="1">
        <v>39544</v>
      </c>
      <c r="K265" s="1">
        <v>150267.20000000001</v>
      </c>
      <c r="L265" s="1" t="s">
        <v>218</v>
      </c>
      <c r="M265" s="1">
        <v>5</v>
      </c>
      <c r="N265" s="1">
        <v>29979.98</v>
      </c>
    </row>
    <row r="266" spans="1:14" x14ac:dyDescent="0.25">
      <c r="A266" s="1">
        <v>1265</v>
      </c>
      <c r="B266" s="1" t="s">
        <v>319</v>
      </c>
      <c r="C266" s="1" t="s">
        <v>219</v>
      </c>
      <c r="D266" s="1" t="s">
        <v>214</v>
      </c>
      <c r="E266" s="1" t="s">
        <v>124</v>
      </c>
      <c r="F266" s="1" t="s">
        <v>230</v>
      </c>
      <c r="G266" s="1" t="s">
        <v>231</v>
      </c>
      <c r="H266" s="1" t="s">
        <v>221</v>
      </c>
      <c r="I266" s="1">
        <v>1</v>
      </c>
      <c r="J266" s="1">
        <v>13751</v>
      </c>
      <c r="K266" s="1">
        <v>11688.35</v>
      </c>
      <c r="L266" s="1" t="s">
        <v>227</v>
      </c>
      <c r="M266" s="1">
        <v>15</v>
      </c>
      <c r="N266" s="1">
        <v>2278.87</v>
      </c>
    </row>
    <row r="267" spans="1:14" x14ac:dyDescent="0.25">
      <c r="A267" s="1">
        <v>1266</v>
      </c>
      <c r="B267" s="1" t="s">
        <v>319</v>
      </c>
      <c r="C267" s="1" t="s">
        <v>213</v>
      </c>
      <c r="D267" s="1" t="s">
        <v>214</v>
      </c>
      <c r="E267" s="1" t="s">
        <v>124</v>
      </c>
      <c r="F267" s="1" t="s">
        <v>215</v>
      </c>
      <c r="G267" s="1" t="s">
        <v>216</v>
      </c>
      <c r="H267" s="1" t="s">
        <v>221</v>
      </c>
      <c r="I267" s="1">
        <v>5</v>
      </c>
      <c r="J267" s="1">
        <v>36432</v>
      </c>
      <c r="K267" s="1">
        <v>163944</v>
      </c>
      <c r="L267" s="1" t="s">
        <v>218</v>
      </c>
      <c r="M267" s="1">
        <v>10</v>
      </c>
      <c r="N267" s="1">
        <v>27010.65</v>
      </c>
    </row>
    <row r="268" spans="1:14" x14ac:dyDescent="0.25">
      <c r="A268" s="1">
        <v>1267</v>
      </c>
      <c r="B268" s="1" t="s">
        <v>319</v>
      </c>
      <c r="C268" s="1" t="s">
        <v>229</v>
      </c>
      <c r="D268" s="1" t="s">
        <v>214</v>
      </c>
      <c r="E268" s="1" t="s">
        <v>124</v>
      </c>
      <c r="F268" s="1" t="s">
        <v>215</v>
      </c>
      <c r="G268" s="1" t="s">
        <v>216</v>
      </c>
      <c r="H268" s="1" t="s">
        <v>234</v>
      </c>
      <c r="I268" s="1">
        <v>1</v>
      </c>
      <c r="J268" s="1">
        <v>23457</v>
      </c>
      <c r="K268" s="1">
        <v>23457</v>
      </c>
      <c r="L268" s="1" t="s">
        <v>222</v>
      </c>
      <c r="M268" s="1">
        <v>0</v>
      </c>
      <c r="N268" s="1">
        <v>6522.54</v>
      </c>
    </row>
    <row r="269" spans="1:14" x14ac:dyDescent="0.25">
      <c r="A269" s="1">
        <v>1268</v>
      </c>
      <c r="B269" s="1" t="s">
        <v>320</v>
      </c>
      <c r="C269" s="1" t="s">
        <v>229</v>
      </c>
      <c r="D269" s="1" t="s">
        <v>245</v>
      </c>
      <c r="E269" s="1" t="s">
        <v>124</v>
      </c>
      <c r="F269" s="1" t="s">
        <v>215</v>
      </c>
      <c r="G269" s="1" t="s">
        <v>216</v>
      </c>
      <c r="H269" s="1" t="s">
        <v>217</v>
      </c>
      <c r="I269" s="1">
        <v>4</v>
      </c>
      <c r="J269" s="1">
        <v>43804</v>
      </c>
      <c r="K269" s="1">
        <v>175216</v>
      </c>
      <c r="L269" s="1" t="s">
        <v>227</v>
      </c>
      <c r="M269" s="1">
        <v>0</v>
      </c>
      <c r="N269" s="1">
        <v>41477.839999999997</v>
      </c>
    </row>
    <row r="270" spans="1:14" x14ac:dyDescent="0.25">
      <c r="A270" s="1">
        <v>1269</v>
      </c>
      <c r="B270" s="1" t="s">
        <v>320</v>
      </c>
      <c r="C270" s="1" t="s">
        <v>219</v>
      </c>
      <c r="D270" s="1" t="s">
        <v>245</v>
      </c>
      <c r="E270" s="1" t="s">
        <v>124</v>
      </c>
      <c r="F270" s="1" t="s">
        <v>225</v>
      </c>
      <c r="G270" s="1" t="s">
        <v>236</v>
      </c>
      <c r="H270" s="1" t="s">
        <v>234</v>
      </c>
      <c r="I270" s="1">
        <v>3</v>
      </c>
      <c r="J270" s="1">
        <v>1429</v>
      </c>
      <c r="K270" s="1">
        <v>3858.3</v>
      </c>
      <c r="L270" s="1" t="s">
        <v>222</v>
      </c>
      <c r="M270" s="1">
        <v>10</v>
      </c>
      <c r="N270" s="1">
        <v>929.7</v>
      </c>
    </row>
    <row r="271" spans="1:14" x14ac:dyDescent="0.25">
      <c r="A271" s="1">
        <v>1270</v>
      </c>
      <c r="B271" s="1" t="s">
        <v>320</v>
      </c>
      <c r="C271" s="1" t="s">
        <v>229</v>
      </c>
      <c r="D271" s="1" t="s">
        <v>245</v>
      </c>
      <c r="E271" s="1" t="s">
        <v>124</v>
      </c>
      <c r="F271" s="1" t="s">
        <v>225</v>
      </c>
      <c r="G271" s="1" t="s">
        <v>226</v>
      </c>
      <c r="H271" s="1" t="s">
        <v>217</v>
      </c>
      <c r="I271" s="1">
        <v>3</v>
      </c>
      <c r="J271" s="1">
        <v>15996</v>
      </c>
      <c r="K271" s="1">
        <v>47988</v>
      </c>
      <c r="L271" s="1" t="s">
        <v>218</v>
      </c>
      <c r="M271" s="1">
        <v>0</v>
      </c>
      <c r="N271" s="1">
        <v>5519.75</v>
      </c>
    </row>
    <row r="272" spans="1:14" x14ac:dyDescent="0.25">
      <c r="A272" s="1">
        <v>1271</v>
      </c>
      <c r="B272" s="1" t="s">
        <v>320</v>
      </c>
      <c r="C272" s="1" t="s">
        <v>219</v>
      </c>
      <c r="D272" s="1" t="s">
        <v>224</v>
      </c>
      <c r="E272" s="1" t="s">
        <v>233</v>
      </c>
      <c r="F272" s="1" t="s">
        <v>225</v>
      </c>
      <c r="G272" s="1" t="s">
        <v>248</v>
      </c>
      <c r="H272" s="1" t="s">
        <v>217</v>
      </c>
      <c r="I272" s="1">
        <v>4</v>
      </c>
      <c r="J272" s="1">
        <v>36910</v>
      </c>
      <c r="K272" s="1">
        <v>125494</v>
      </c>
      <c r="L272" s="1" t="s">
        <v>218</v>
      </c>
      <c r="M272" s="1">
        <v>15</v>
      </c>
      <c r="N272" s="1">
        <v>18090.59</v>
      </c>
    </row>
    <row r="273" spans="1:14" x14ac:dyDescent="0.25">
      <c r="A273" s="1">
        <v>1272</v>
      </c>
      <c r="B273" s="1" t="s">
        <v>320</v>
      </c>
      <c r="C273" s="1" t="s">
        <v>229</v>
      </c>
      <c r="D273" s="1" t="s">
        <v>245</v>
      </c>
      <c r="E273" s="1" t="s">
        <v>124</v>
      </c>
      <c r="F273" s="1" t="s">
        <v>215</v>
      </c>
      <c r="G273" s="1" t="s">
        <v>246</v>
      </c>
      <c r="H273" s="1" t="s">
        <v>234</v>
      </c>
      <c r="I273" s="1">
        <v>4</v>
      </c>
      <c r="J273" s="1">
        <v>47591</v>
      </c>
      <c r="K273" s="1">
        <v>190364</v>
      </c>
      <c r="L273" s="1" t="s">
        <v>227</v>
      </c>
      <c r="M273" s="1">
        <v>0</v>
      </c>
      <c r="N273" s="1">
        <v>42319.38</v>
      </c>
    </row>
    <row r="274" spans="1:14" x14ac:dyDescent="0.25">
      <c r="A274" s="1">
        <v>1273</v>
      </c>
      <c r="B274" s="1" t="s">
        <v>321</v>
      </c>
      <c r="C274" s="1" t="s">
        <v>219</v>
      </c>
      <c r="D274" s="1" t="s">
        <v>245</v>
      </c>
      <c r="E274" s="1" t="s">
        <v>124</v>
      </c>
      <c r="F274" s="1" t="s">
        <v>225</v>
      </c>
      <c r="G274" s="1" t="s">
        <v>236</v>
      </c>
      <c r="H274" s="1" t="s">
        <v>221</v>
      </c>
      <c r="I274" s="1">
        <v>1</v>
      </c>
      <c r="J274" s="1">
        <v>7155</v>
      </c>
      <c r="K274" s="1">
        <v>6081.75</v>
      </c>
      <c r="L274" s="1" t="s">
        <v>218</v>
      </c>
      <c r="M274" s="1">
        <v>15</v>
      </c>
      <c r="N274" s="1">
        <v>1648.6</v>
      </c>
    </row>
    <row r="275" spans="1:14" x14ac:dyDescent="0.25">
      <c r="A275" s="1">
        <v>1274</v>
      </c>
      <c r="B275" s="1" t="s">
        <v>321</v>
      </c>
      <c r="C275" s="1" t="s">
        <v>213</v>
      </c>
      <c r="D275" s="1" t="s">
        <v>232</v>
      </c>
      <c r="E275" s="1" t="s">
        <v>233</v>
      </c>
      <c r="F275" s="1" t="s">
        <v>230</v>
      </c>
      <c r="G275" s="1" t="s">
        <v>241</v>
      </c>
      <c r="H275" s="1" t="s">
        <v>128</v>
      </c>
      <c r="I275" s="1">
        <v>3</v>
      </c>
      <c r="J275" s="1">
        <v>25729</v>
      </c>
      <c r="K275" s="1">
        <v>69468.3</v>
      </c>
      <c r="L275" s="1" t="s">
        <v>222</v>
      </c>
      <c r="M275" s="1">
        <v>10</v>
      </c>
      <c r="N275" s="1">
        <v>17400.43</v>
      </c>
    </row>
    <row r="276" spans="1:14" x14ac:dyDescent="0.25">
      <c r="A276" s="1">
        <v>1275</v>
      </c>
      <c r="B276" s="1" t="s">
        <v>321</v>
      </c>
      <c r="C276" s="1" t="s">
        <v>213</v>
      </c>
      <c r="D276" s="1" t="s">
        <v>245</v>
      </c>
      <c r="E276" s="1" t="s">
        <v>124</v>
      </c>
      <c r="F276" s="1" t="s">
        <v>230</v>
      </c>
      <c r="G276" s="1" t="s">
        <v>242</v>
      </c>
      <c r="H276" s="1" t="s">
        <v>217</v>
      </c>
      <c r="I276" s="1">
        <v>5</v>
      </c>
      <c r="J276" s="1">
        <v>34177</v>
      </c>
      <c r="K276" s="1">
        <v>153796.5</v>
      </c>
      <c r="L276" s="1" t="s">
        <v>240</v>
      </c>
      <c r="M276" s="1">
        <v>10</v>
      </c>
      <c r="N276" s="1">
        <v>43090.51</v>
      </c>
    </row>
    <row r="277" spans="1:14" x14ac:dyDescent="0.25">
      <c r="A277" s="1">
        <v>1276</v>
      </c>
      <c r="B277" s="1" t="s">
        <v>321</v>
      </c>
      <c r="C277" s="1" t="s">
        <v>239</v>
      </c>
      <c r="D277" s="1" t="s">
        <v>245</v>
      </c>
      <c r="E277" s="1" t="s">
        <v>124</v>
      </c>
      <c r="F277" s="1" t="s">
        <v>230</v>
      </c>
      <c r="G277" s="1" t="s">
        <v>231</v>
      </c>
      <c r="H277" s="1" t="s">
        <v>217</v>
      </c>
      <c r="I277" s="1">
        <v>2</v>
      </c>
      <c r="J277" s="1">
        <v>33439</v>
      </c>
      <c r="K277" s="1">
        <v>66878</v>
      </c>
      <c r="L277" s="1" t="s">
        <v>222</v>
      </c>
      <c r="M277" s="1">
        <v>0</v>
      </c>
      <c r="N277" s="1">
        <v>10876.9</v>
      </c>
    </row>
    <row r="278" spans="1:14" x14ac:dyDescent="0.25">
      <c r="A278" s="1">
        <v>1277</v>
      </c>
      <c r="B278" s="1" t="s">
        <v>321</v>
      </c>
      <c r="C278" s="1" t="s">
        <v>219</v>
      </c>
      <c r="D278" s="1" t="s">
        <v>232</v>
      </c>
      <c r="E278" s="1" t="s">
        <v>233</v>
      </c>
      <c r="F278" s="1" t="s">
        <v>225</v>
      </c>
      <c r="G278" s="1" t="s">
        <v>248</v>
      </c>
      <c r="H278" s="1" t="s">
        <v>128</v>
      </c>
      <c r="I278" s="1">
        <v>1</v>
      </c>
      <c r="J278" s="1">
        <v>43955</v>
      </c>
      <c r="K278" s="1">
        <v>43955</v>
      </c>
      <c r="L278" s="1" t="s">
        <v>218</v>
      </c>
      <c r="M278" s="1">
        <v>0</v>
      </c>
      <c r="N278" s="1">
        <v>8596.09</v>
      </c>
    </row>
    <row r="279" spans="1:14" x14ac:dyDescent="0.25">
      <c r="A279" s="1">
        <v>1278</v>
      </c>
      <c r="B279" s="1" t="s">
        <v>322</v>
      </c>
      <c r="C279" s="1" t="s">
        <v>229</v>
      </c>
      <c r="D279" s="1" t="s">
        <v>232</v>
      </c>
      <c r="E279" s="1" t="s">
        <v>233</v>
      </c>
      <c r="F279" s="1" t="s">
        <v>225</v>
      </c>
      <c r="G279" s="1" t="s">
        <v>248</v>
      </c>
      <c r="H279" s="1" t="s">
        <v>234</v>
      </c>
      <c r="I279" s="1">
        <v>4</v>
      </c>
      <c r="J279" s="1">
        <v>10934</v>
      </c>
      <c r="K279" s="1">
        <v>37175.599999999999</v>
      </c>
      <c r="L279" s="1" t="s">
        <v>218</v>
      </c>
      <c r="M279" s="1">
        <v>15</v>
      </c>
      <c r="N279" s="1">
        <v>7143.49</v>
      </c>
    </row>
    <row r="280" spans="1:14" x14ac:dyDescent="0.25">
      <c r="A280" s="1">
        <v>1279</v>
      </c>
      <c r="B280" s="1" t="s">
        <v>322</v>
      </c>
      <c r="C280" s="1" t="s">
        <v>239</v>
      </c>
      <c r="D280" s="1" t="s">
        <v>220</v>
      </c>
      <c r="E280" s="1" t="s">
        <v>85</v>
      </c>
      <c r="F280" s="1" t="s">
        <v>230</v>
      </c>
      <c r="G280" s="1" t="s">
        <v>241</v>
      </c>
      <c r="H280" s="1" t="s">
        <v>128</v>
      </c>
      <c r="I280" s="1">
        <v>1</v>
      </c>
      <c r="J280" s="1">
        <v>25903</v>
      </c>
      <c r="K280" s="1">
        <v>25903</v>
      </c>
      <c r="L280" s="1" t="s">
        <v>218</v>
      </c>
      <c r="M280" s="1">
        <v>0</v>
      </c>
      <c r="N280" s="1">
        <v>5479.04</v>
      </c>
    </row>
    <row r="281" spans="1:14" x14ac:dyDescent="0.25">
      <c r="A281" s="1">
        <v>1280</v>
      </c>
      <c r="B281" s="1" t="s">
        <v>322</v>
      </c>
      <c r="C281" s="1" t="s">
        <v>229</v>
      </c>
      <c r="D281" s="1" t="s">
        <v>220</v>
      </c>
      <c r="E281" s="1" t="s">
        <v>85</v>
      </c>
      <c r="F281" s="1" t="s">
        <v>225</v>
      </c>
      <c r="G281" s="1" t="s">
        <v>226</v>
      </c>
      <c r="H281" s="1" t="s">
        <v>234</v>
      </c>
      <c r="I281" s="1">
        <v>2</v>
      </c>
      <c r="J281" s="1">
        <v>29695</v>
      </c>
      <c r="K281" s="1">
        <v>59390</v>
      </c>
      <c r="L281" s="1" t="s">
        <v>240</v>
      </c>
      <c r="M281" s="1">
        <v>0</v>
      </c>
      <c r="N281" s="1">
        <v>10888.39</v>
      </c>
    </row>
    <row r="282" spans="1:14" x14ac:dyDescent="0.25">
      <c r="A282" s="1">
        <v>1281</v>
      </c>
      <c r="B282" s="1" t="s">
        <v>322</v>
      </c>
      <c r="C282" s="1" t="s">
        <v>213</v>
      </c>
      <c r="D282" s="1" t="s">
        <v>224</v>
      </c>
      <c r="E282" s="1" t="s">
        <v>233</v>
      </c>
      <c r="F282" s="1" t="s">
        <v>230</v>
      </c>
      <c r="G282" s="1" t="s">
        <v>242</v>
      </c>
      <c r="H282" s="1" t="s">
        <v>234</v>
      </c>
      <c r="I282" s="1">
        <v>3</v>
      </c>
      <c r="J282" s="1">
        <v>49550</v>
      </c>
      <c r="K282" s="1">
        <v>148650</v>
      </c>
      <c r="L282" s="1" t="s">
        <v>218</v>
      </c>
      <c r="M282" s="1">
        <v>0</v>
      </c>
      <c r="N282" s="1">
        <v>37144.31</v>
      </c>
    </row>
    <row r="283" spans="1:14" x14ac:dyDescent="0.25">
      <c r="A283" s="1">
        <v>1282</v>
      </c>
      <c r="B283" s="1" t="s">
        <v>322</v>
      </c>
      <c r="C283" s="1" t="s">
        <v>229</v>
      </c>
      <c r="D283" s="1" t="s">
        <v>214</v>
      </c>
      <c r="E283" s="1" t="s">
        <v>124</v>
      </c>
      <c r="F283" s="1" t="s">
        <v>215</v>
      </c>
      <c r="G283" s="1" t="s">
        <v>244</v>
      </c>
      <c r="H283" s="1" t="s">
        <v>128</v>
      </c>
      <c r="I283" s="1">
        <v>4</v>
      </c>
      <c r="J283" s="1">
        <v>46366</v>
      </c>
      <c r="K283" s="1">
        <v>157644.4</v>
      </c>
      <c r="L283" s="1" t="s">
        <v>227</v>
      </c>
      <c r="M283" s="1">
        <v>15</v>
      </c>
      <c r="N283" s="1">
        <v>41638.47</v>
      </c>
    </row>
    <row r="284" spans="1:14" x14ac:dyDescent="0.25">
      <c r="A284" s="1">
        <v>1283</v>
      </c>
      <c r="B284" s="1" t="s">
        <v>323</v>
      </c>
      <c r="C284" s="1" t="s">
        <v>223</v>
      </c>
      <c r="D284" s="1" t="s">
        <v>214</v>
      </c>
      <c r="E284" s="1" t="s">
        <v>124</v>
      </c>
      <c r="F284" s="1" t="s">
        <v>215</v>
      </c>
      <c r="G284" s="1" t="s">
        <v>216</v>
      </c>
      <c r="H284" s="1" t="s">
        <v>221</v>
      </c>
      <c r="I284" s="1">
        <v>4</v>
      </c>
      <c r="J284" s="1">
        <v>15490</v>
      </c>
      <c r="K284" s="1">
        <v>55764</v>
      </c>
      <c r="L284" s="1" t="s">
        <v>222</v>
      </c>
      <c r="M284" s="1">
        <v>10</v>
      </c>
      <c r="N284" s="1">
        <v>9903.8799999999992</v>
      </c>
    </row>
    <row r="285" spans="1:14" x14ac:dyDescent="0.25">
      <c r="A285" s="1">
        <v>1284</v>
      </c>
      <c r="B285" s="1" t="s">
        <v>323</v>
      </c>
      <c r="C285" s="1" t="s">
        <v>229</v>
      </c>
      <c r="D285" s="1" t="s">
        <v>224</v>
      </c>
      <c r="E285" s="1" t="s">
        <v>233</v>
      </c>
      <c r="F285" s="1" t="s">
        <v>215</v>
      </c>
      <c r="G285" s="1" t="s">
        <v>244</v>
      </c>
      <c r="H285" s="1" t="s">
        <v>217</v>
      </c>
      <c r="I285" s="1">
        <v>4</v>
      </c>
      <c r="J285" s="1">
        <v>14780</v>
      </c>
      <c r="K285" s="1">
        <v>56164</v>
      </c>
      <c r="L285" s="1" t="s">
        <v>218</v>
      </c>
      <c r="M285" s="1">
        <v>5</v>
      </c>
      <c r="N285" s="1">
        <v>10291.799999999999</v>
      </c>
    </row>
    <row r="286" spans="1:14" x14ac:dyDescent="0.25">
      <c r="A286" s="1">
        <v>1285</v>
      </c>
      <c r="B286" s="1" t="s">
        <v>323</v>
      </c>
      <c r="C286" s="1" t="s">
        <v>213</v>
      </c>
      <c r="D286" s="1" t="s">
        <v>245</v>
      </c>
      <c r="E286" s="1" t="s">
        <v>124</v>
      </c>
      <c r="F286" s="1" t="s">
        <v>230</v>
      </c>
      <c r="G286" s="1" t="s">
        <v>242</v>
      </c>
      <c r="H286" s="1" t="s">
        <v>234</v>
      </c>
      <c r="I286" s="1">
        <v>1</v>
      </c>
      <c r="J286" s="1">
        <v>30557</v>
      </c>
      <c r="K286" s="1">
        <v>27501.3</v>
      </c>
      <c r="L286" s="1" t="s">
        <v>218</v>
      </c>
      <c r="M286" s="1">
        <v>10</v>
      </c>
      <c r="N286" s="1">
        <v>3167.79</v>
      </c>
    </row>
    <row r="287" spans="1:14" x14ac:dyDescent="0.25">
      <c r="A287" s="1">
        <v>1286</v>
      </c>
      <c r="B287" s="1" t="s">
        <v>323</v>
      </c>
      <c r="C287" s="1" t="s">
        <v>229</v>
      </c>
      <c r="D287" s="1" t="s">
        <v>245</v>
      </c>
      <c r="E287" s="1" t="s">
        <v>124</v>
      </c>
      <c r="F287" s="1" t="s">
        <v>225</v>
      </c>
      <c r="G287" s="1" t="s">
        <v>248</v>
      </c>
      <c r="H287" s="1" t="s">
        <v>221</v>
      </c>
      <c r="I287" s="1">
        <v>4</v>
      </c>
      <c r="J287" s="1">
        <v>42432</v>
      </c>
      <c r="K287" s="1">
        <v>169728</v>
      </c>
      <c r="L287" s="1" t="s">
        <v>227</v>
      </c>
      <c r="M287" s="1">
        <v>0</v>
      </c>
      <c r="N287" s="1">
        <v>45370.02</v>
      </c>
    </row>
    <row r="288" spans="1:14" x14ac:dyDescent="0.25">
      <c r="A288" s="1">
        <v>1287</v>
      </c>
      <c r="B288" s="1" t="s">
        <v>323</v>
      </c>
      <c r="C288" s="1" t="s">
        <v>213</v>
      </c>
      <c r="D288" s="1" t="s">
        <v>245</v>
      </c>
      <c r="E288" s="1" t="s">
        <v>124</v>
      </c>
      <c r="F288" s="1" t="s">
        <v>225</v>
      </c>
      <c r="G288" s="1" t="s">
        <v>236</v>
      </c>
      <c r="H288" s="1" t="s">
        <v>128</v>
      </c>
      <c r="I288" s="1">
        <v>1</v>
      </c>
      <c r="J288" s="1">
        <v>45098</v>
      </c>
      <c r="K288" s="1">
        <v>40588.199999999997</v>
      </c>
      <c r="L288" s="1" t="s">
        <v>240</v>
      </c>
      <c r="M288" s="1">
        <v>10</v>
      </c>
      <c r="N288" s="1">
        <v>8537.23</v>
      </c>
    </row>
    <row r="289" spans="1:14" x14ac:dyDescent="0.25">
      <c r="A289" s="1">
        <v>1288</v>
      </c>
      <c r="B289" s="1" t="s">
        <v>324</v>
      </c>
      <c r="C289" s="1" t="s">
        <v>223</v>
      </c>
      <c r="D289" s="1" t="s">
        <v>224</v>
      </c>
      <c r="E289" s="1" t="s">
        <v>233</v>
      </c>
      <c r="F289" s="1" t="s">
        <v>230</v>
      </c>
      <c r="G289" s="1" t="s">
        <v>241</v>
      </c>
      <c r="H289" s="1" t="s">
        <v>221</v>
      </c>
      <c r="I289" s="1">
        <v>3</v>
      </c>
      <c r="J289" s="1">
        <v>29559</v>
      </c>
      <c r="K289" s="1">
        <v>88677</v>
      </c>
      <c r="L289" s="1" t="s">
        <v>222</v>
      </c>
      <c r="M289" s="1">
        <v>0</v>
      </c>
      <c r="N289" s="1">
        <v>12104.34</v>
      </c>
    </row>
    <row r="290" spans="1:14" x14ac:dyDescent="0.25">
      <c r="A290" s="1">
        <v>1289</v>
      </c>
      <c r="B290" s="1" t="s">
        <v>324</v>
      </c>
      <c r="C290" s="1" t="s">
        <v>223</v>
      </c>
      <c r="D290" s="1" t="s">
        <v>245</v>
      </c>
      <c r="E290" s="1" t="s">
        <v>124</v>
      </c>
      <c r="F290" s="1" t="s">
        <v>215</v>
      </c>
      <c r="G290" s="1" t="s">
        <v>244</v>
      </c>
      <c r="H290" s="1" t="s">
        <v>221</v>
      </c>
      <c r="I290" s="1">
        <v>1</v>
      </c>
      <c r="J290" s="1">
        <v>3927</v>
      </c>
      <c r="K290" s="1">
        <v>3534.3</v>
      </c>
      <c r="L290" s="1" t="s">
        <v>240</v>
      </c>
      <c r="M290" s="1">
        <v>10</v>
      </c>
      <c r="N290" s="1">
        <v>598.09</v>
      </c>
    </row>
    <row r="291" spans="1:14" x14ac:dyDescent="0.25">
      <c r="A291" s="1">
        <v>1290</v>
      </c>
      <c r="B291" s="1" t="s">
        <v>324</v>
      </c>
      <c r="C291" s="1" t="s">
        <v>213</v>
      </c>
      <c r="D291" s="1" t="s">
        <v>220</v>
      </c>
      <c r="E291" s="1" t="s">
        <v>85</v>
      </c>
      <c r="F291" s="1" t="s">
        <v>230</v>
      </c>
      <c r="G291" s="1" t="s">
        <v>231</v>
      </c>
      <c r="H291" s="1" t="s">
        <v>217</v>
      </c>
      <c r="I291" s="1">
        <v>4</v>
      </c>
      <c r="J291" s="1">
        <v>14174</v>
      </c>
      <c r="K291" s="1">
        <v>53861.2</v>
      </c>
      <c r="L291" s="1" t="s">
        <v>227</v>
      </c>
      <c r="M291" s="1">
        <v>5</v>
      </c>
      <c r="N291" s="1">
        <v>8039.21</v>
      </c>
    </row>
    <row r="292" spans="1:14" x14ac:dyDescent="0.25">
      <c r="A292" s="1">
        <v>1291</v>
      </c>
      <c r="B292" s="1" t="s">
        <v>324</v>
      </c>
      <c r="C292" s="1" t="s">
        <v>213</v>
      </c>
      <c r="D292" s="1" t="s">
        <v>245</v>
      </c>
      <c r="E292" s="1" t="s">
        <v>124</v>
      </c>
      <c r="F292" s="1" t="s">
        <v>230</v>
      </c>
      <c r="G292" s="1" t="s">
        <v>242</v>
      </c>
      <c r="H292" s="1" t="s">
        <v>221</v>
      </c>
      <c r="I292" s="1">
        <v>5</v>
      </c>
      <c r="J292" s="1">
        <v>32837</v>
      </c>
      <c r="K292" s="1">
        <v>155975.75</v>
      </c>
      <c r="L292" s="1" t="s">
        <v>218</v>
      </c>
      <c r="M292" s="1">
        <v>5</v>
      </c>
      <c r="N292" s="1">
        <v>32017.59</v>
      </c>
    </row>
    <row r="293" spans="1:14" x14ac:dyDescent="0.25">
      <c r="A293" s="1">
        <v>1292</v>
      </c>
      <c r="B293" s="1" t="s">
        <v>324</v>
      </c>
      <c r="C293" s="1" t="s">
        <v>223</v>
      </c>
      <c r="D293" s="1" t="s">
        <v>214</v>
      </c>
      <c r="E293" s="1" t="s">
        <v>124</v>
      </c>
      <c r="F293" s="1" t="s">
        <v>215</v>
      </c>
      <c r="G293" s="1" t="s">
        <v>244</v>
      </c>
      <c r="H293" s="1" t="s">
        <v>221</v>
      </c>
      <c r="I293" s="1">
        <v>5</v>
      </c>
      <c r="J293" s="1">
        <v>44707</v>
      </c>
      <c r="K293" s="1">
        <v>212358.25</v>
      </c>
      <c r="L293" s="1" t="s">
        <v>240</v>
      </c>
      <c r="M293" s="1">
        <v>5</v>
      </c>
      <c r="N293" s="1">
        <v>46858.09</v>
      </c>
    </row>
    <row r="294" spans="1:14" x14ac:dyDescent="0.25">
      <c r="A294" s="1">
        <v>1293</v>
      </c>
      <c r="B294" s="1" t="s">
        <v>325</v>
      </c>
      <c r="C294" s="1" t="s">
        <v>213</v>
      </c>
      <c r="D294" s="1" t="s">
        <v>214</v>
      </c>
      <c r="E294" s="1" t="s">
        <v>124</v>
      </c>
      <c r="F294" s="1" t="s">
        <v>215</v>
      </c>
      <c r="G294" s="1" t="s">
        <v>216</v>
      </c>
      <c r="H294" s="1" t="s">
        <v>234</v>
      </c>
      <c r="I294" s="1">
        <v>2</v>
      </c>
      <c r="J294" s="1">
        <v>20926</v>
      </c>
      <c r="K294" s="1">
        <v>35574.199999999997</v>
      </c>
      <c r="L294" s="1" t="s">
        <v>227</v>
      </c>
      <c r="M294" s="1">
        <v>15</v>
      </c>
      <c r="N294" s="1">
        <v>10311.14</v>
      </c>
    </row>
    <row r="295" spans="1:14" x14ac:dyDescent="0.25">
      <c r="A295" s="1">
        <v>1294</v>
      </c>
      <c r="B295" s="1" t="s">
        <v>325</v>
      </c>
      <c r="C295" s="1" t="s">
        <v>239</v>
      </c>
      <c r="D295" s="1" t="s">
        <v>220</v>
      </c>
      <c r="E295" s="1" t="s">
        <v>85</v>
      </c>
      <c r="F295" s="1" t="s">
        <v>230</v>
      </c>
      <c r="G295" s="1" t="s">
        <v>242</v>
      </c>
      <c r="H295" s="1" t="s">
        <v>221</v>
      </c>
      <c r="I295" s="1">
        <v>3</v>
      </c>
      <c r="J295" s="1">
        <v>32368</v>
      </c>
      <c r="K295" s="1">
        <v>82538.399999999994</v>
      </c>
      <c r="L295" s="1" t="s">
        <v>222</v>
      </c>
      <c r="M295" s="1">
        <v>15</v>
      </c>
      <c r="N295" s="1">
        <v>8990.57</v>
      </c>
    </row>
    <row r="296" spans="1:14" x14ac:dyDescent="0.25">
      <c r="A296" s="1">
        <v>1295</v>
      </c>
      <c r="B296" s="1" t="s">
        <v>325</v>
      </c>
      <c r="C296" s="1" t="s">
        <v>219</v>
      </c>
      <c r="D296" s="1" t="s">
        <v>224</v>
      </c>
      <c r="E296" s="1" t="s">
        <v>233</v>
      </c>
      <c r="F296" s="1" t="s">
        <v>230</v>
      </c>
      <c r="G296" s="1" t="s">
        <v>231</v>
      </c>
      <c r="H296" s="1" t="s">
        <v>128</v>
      </c>
      <c r="I296" s="1">
        <v>5</v>
      </c>
      <c r="J296" s="1">
        <v>14500</v>
      </c>
      <c r="K296" s="1">
        <v>61625</v>
      </c>
      <c r="L296" s="1" t="s">
        <v>227</v>
      </c>
      <c r="M296" s="1">
        <v>15</v>
      </c>
      <c r="N296" s="1">
        <v>7720.29</v>
      </c>
    </row>
    <row r="297" spans="1:14" x14ac:dyDescent="0.25">
      <c r="A297" s="1">
        <v>1296</v>
      </c>
      <c r="B297" s="1" t="s">
        <v>325</v>
      </c>
      <c r="C297" s="1" t="s">
        <v>213</v>
      </c>
      <c r="D297" s="1" t="s">
        <v>220</v>
      </c>
      <c r="E297" s="1" t="s">
        <v>85</v>
      </c>
      <c r="F297" s="1" t="s">
        <v>230</v>
      </c>
      <c r="G297" s="1" t="s">
        <v>231</v>
      </c>
      <c r="H297" s="1" t="s">
        <v>234</v>
      </c>
      <c r="I297" s="1">
        <v>2</v>
      </c>
      <c r="J297" s="1">
        <v>34168</v>
      </c>
      <c r="K297" s="1">
        <v>58085.599999999999</v>
      </c>
      <c r="L297" s="1" t="s">
        <v>218</v>
      </c>
      <c r="M297" s="1">
        <v>15</v>
      </c>
      <c r="N297" s="1">
        <v>12757.4</v>
      </c>
    </row>
    <row r="298" spans="1:14" x14ac:dyDescent="0.25">
      <c r="A298" s="1">
        <v>1297</v>
      </c>
      <c r="B298" s="1" t="s">
        <v>325</v>
      </c>
      <c r="C298" s="1" t="s">
        <v>213</v>
      </c>
      <c r="D298" s="1" t="s">
        <v>224</v>
      </c>
      <c r="E298" s="1" t="s">
        <v>233</v>
      </c>
      <c r="F298" s="1" t="s">
        <v>230</v>
      </c>
      <c r="G298" s="1" t="s">
        <v>242</v>
      </c>
      <c r="H298" s="1" t="s">
        <v>217</v>
      </c>
      <c r="I298" s="1">
        <v>1</v>
      </c>
      <c r="J298" s="1">
        <v>41535</v>
      </c>
      <c r="K298" s="1">
        <v>41535</v>
      </c>
      <c r="L298" s="1" t="s">
        <v>222</v>
      </c>
      <c r="M298" s="1">
        <v>0</v>
      </c>
      <c r="N298" s="1">
        <v>9571.76</v>
      </c>
    </row>
    <row r="299" spans="1:14" x14ac:dyDescent="0.25">
      <c r="A299" s="1">
        <v>1298</v>
      </c>
      <c r="B299" s="1" t="s">
        <v>326</v>
      </c>
      <c r="C299" s="1" t="s">
        <v>239</v>
      </c>
      <c r="D299" s="1" t="s">
        <v>214</v>
      </c>
      <c r="E299" s="1" t="s">
        <v>124</v>
      </c>
      <c r="F299" s="1" t="s">
        <v>215</v>
      </c>
      <c r="G299" s="1" t="s">
        <v>246</v>
      </c>
      <c r="H299" s="1" t="s">
        <v>234</v>
      </c>
      <c r="I299" s="1">
        <v>4</v>
      </c>
      <c r="J299" s="1">
        <v>14212</v>
      </c>
      <c r="K299" s="1">
        <v>51163.199999999997</v>
      </c>
      <c r="L299" s="1" t="s">
        <v>227</v>
      </c>
      <c r="M299" s="1">
        <v>10</v>
      </c>
      <c r="N299" s="1">
        <v>5295.96</v>
      </c>
    </row>
    <row r="300" spans="1:14" x14ac:dyDescent="0.25">
      <c r="A300" s="1">
        <v>1299</v>
      </c>
      <c r="B300" s="1" t="s">
        <v>326</v>
      </c>
      <c r="C300" s="1" t="s">
        <v>239</v>
      </c>
      <c r="D300" s="1" t="s">
        <v>214</v>
      </c>
      <c r="E300" s="1" t="s">
        <v>124</v>
      </c>
      <c r="F300" s="1" t="s">
        <v>225</v>
      </c>
      <c r="G300" s="1" t="s">
        <v>248</v>
      </c>
      <c r="H300" s="1" t="s">
        <v>234</v>
      </c>
      <c r="I300" s="1">
        <v>3</v>
      </c>
      <c r="J300" s="1">
        <v>13746</v>
      </c>
      <c r="K300" s="1">
        <v>39176.1</v>
      </c>
      <c r="L300" s="1" t="s">
        <v>227</v>
      </c>
      <c r="M300" s="1">
        <v>5</v>
      </c>
      <c r="N300" s="1">
        <v>10925.41</v>
      </c>
    </row>
    <row r="301" spans="1:14" x14ac:dyDescent="0.25">
      <c r="A301" s="1">
        <v>1300</v>
      </c>
      <c r="B301" s="1" t="s">
        <v>327</v>
      </c>
      <c r="C301" s="1" t="s">
        <v>213</v>
      </c>
      <c r="D301" s="1" t="s">
        <v>220</v>
      </c>
      <c r="E301" s="1" t="s">
        <v>85</v>
      </c>
      <c r="F301" s="1" t="s">
        <v>215</v>
      </c>
      <c r="G301" s="1" t="s">
        <v>246</v>
      </c>
      <c r="H301" s="1" t="s">
        <v>217</v>
      </c>
      <c r="I301" s="1">
        <v>5</v>
      </c>
      <c r="J301" s="1">
        <v>39247</v>
      </c>
      <c r="K301" s="1">
        <v>166799.75</v>
      </c>
      <c r="L301" s="1" t="s">
        <v>218</v>
      </c>
      <c r="M301" s="1">
        <v>15</v>
      </c>
      <c r="N301" s="1">
        <v>18681.97</v>
      </c>
    </row>
    <row r="302" spans="1:14" x14ac:dyDescent="0.25">
      <c r="A302" s="1">
        <v>1301</v>
      </c>
      <c r="B302" s="1" t="s">
        <v>327</v>
      </c>
      <c r="C302" s="1" t="s">
        <v>239</v>
      </c>
      <c r="D302" s="1" t="s">
        <v>214</v>
      </c>
      <c r="E302" s="1" t="s">
        <v>124</v>
      </c>
      <c r="F302" s="1" t="s">
        <v>225</v>
      </c>
      <c r="G302" s="1" t="s">
        <v>248</v>
      </c>
      <c r="H302" s="1" t="s">
        <v>234</v>
      </c>
      <c r="I302" s="1">
        <v>3</v>
      </c>
      <c r="J302" s="1">
        <v>6584</v>
      </c>
      <c r="K302" s="1">
        <v>16789.2</v>
      </c>
      <c r="L302" s="1" t="s">
        <v>218</v>
      </c>
      <c r="M302" s="1">
        <v>15</v>
      </c>
      <c r="N302" s="1">
        <v>2937.4</v>
      </c>
    </row>
    <row r="303" spans="1:14" x14ac:dyDescent="0.25">
      <c r="A303" s="1">
        <v>1302</v>
      </c>
      <c r="B303" s="1" t="s">
        <v>327</v>
      </c>
      <c r="C303" s="1" t="s">
        <v>239</v>
      </c>
      <c r="D303" s="1" t="s">
        <v>220</v>
      </c>
      <c r="E303" s="1" t="s">
        <v>85</v>
      </c>
      <c r="F303" s="1" t="s">
        <v>225</v>
      </c>
      <c r="G303" s="1" t="s">
        <v>248</v>
      </c>
      <c r="H303" s="1" t="s">
        <v>234</v>
      </c>
      <c r="I303" s="1">
        <v>2</v>
      </c>
      <c r="J303" s="1">
        <v>42420</v>
      </c>
      <c r="K303" s="1">
        <v>80598</v>
      </c>
      <c r="L303" s="1" t="s">
        <v>218</v>
      </c>
      <c r="M303" s="1">
        <v>5</v>
      </c>
      <c r="N303" s="1">
        <v>22102.53</v>
      </c>
    </row>
    <row r="304" spans="1:14" x14ac:dyDescent="0.25">
      <c r="A304" s="1">
        <v>1303</v>
      </c>
      <c r="B304" s="1" t="s">
        <v>328</v>
      </c>
      <c r="C304" s="1" t="s">
        <v>213</v>
      </c>
      <c r="D304" s="1" t="s">
        <v>232</v>
      </c>
      <c r="E304" s="1" t="s">
        <v>233</v>
      </c>
      <c r="F304" s="1" t="s">
        <v>225</v>
      </c>
      <c r="G304" s="1" t="s">
        <v>226</v>
      </c>
      <c r="H304" s="1" t="s">
        <v>217</v>
      </c>
      <c r="I304" s="1">
        <v>5</v>
      </c>
      <c r="J304" s="1">
        <v>21435</v>
      </c>
      <c r="K304" s="1">
        <v>91098.75</v>
      </c>
      <c r="L304" s="1" t="s">
        <v>227</v>
      </c>
      <c r="M304" s="1">
        <v>15</v>
      </c>
      <c r="N304" s="1">
        <v>16996.810000000001</v>
      </c>
    </row>
    <row r="305" spans="1:14" x14ac:dyDescent="0.25">
      <c r="A305" s="1">
        <v>1304</v>
      </c>
      <c r="B305" s="1" t="s">
        <v>328</v>
      </c>
      <c r="C305" s="1" t="s">
        <v>239</v>
      </c>
      <c r="D305" s="1" t="s">
        <v>245</v>
      </c>
      <c r="E305" s="1" t="s">
        <v>124</v>
      </c>
      <c r="F305" s="1" t="s">
        <v>225</v>
      </c>
      <c r="G305" s="1" t="s">
        <v>236</v>
      </c>
      <c r="H305" s="1" t="s">
        <v>221</v>
      </c>
      <c r="I305" s="1">
        <v>5</v>
      </c>
      <c r="J305" s="1">
        <v>23764</v>
      </c>
      <c r="K305" s="1">
        <v>112879</v>
      </c>
      <c r="L305" s="1" t="s">
        <v>227</v>
      </c>
      <c r="M305" s="1">
        <v>5</v>
      </c>
      <c r="N305" s="1">
        <v>12304.73</v>
      </c>
    </row>
    <row r="306" spans="1:14" x14ac:dyDescent="0.25">
      <c r="A306" s="1">
        <v>1305</v>
      </c>
      <c r="B306" s="1" t="s">
        <v>328</v>
      </c>
      <c r="C306" s="1" t="s">
        <v>213</v>
      </c>
      <c r="D306" s="1" t="s">
        <v>232</v>
      </c>
      <c r="E306" s="1" t="s">
        <v>233</v>
      </c>
      <c r="F306" s="1" t="s">
        <v>230</v>
      </c>
      <c r="G306" s="1" t="s">
        <v>242</v>
      </c>
      <c r="H306" s="1" t="s">
        <v>221</v>
      </c>
      <c r="I306" s="1">
        <v>1</v>
      </c>
      <c r="J306" s="1">
        <v>7929</v>
      </c>
      <c r="K306" s="1">
        <v>6739.65</v>
      </c>
      <c r="L306" s="1" t="s">
        <v>227</v>
      </c>
      <c r="M306" s="1">
        <v>15</v>
      </c>
      <c r="N306" s="1">
        <v>873.96</v>
      </c>
    </row>
    <row r="307" spans="1:14" x14ac:dyDescent="0.25">
      <c r="A307" s="1">
        <v>1306</v>
      </c>
      <c r="B307" s="1" t="s">
        <v>328</v>
      </c>
      <c r="C307" s="1" t="s">
        <v>213</v>
      </c>
      <c r="D307" s="1" t="s">
        <v>220</v>
      </c>
      <c r="E307" s="1" t="s">
        <v>85</v>
      </c>
      <c r="F307" s="1" t="s">
        <v>230</v>
      </c>
      <c r="G307" s="1" t="s">
        <v>231</v>
      </c>
      <c r="H307" s="1" t="s">
        <v>234</v>
      </c>
      <c r="I307" s="1">
        <v>3</v>
      </c>
      <c r="J307" s="1">
        <v>4014</v>
      </c>
      <c r="K307" s="1">
        <v>11439.9</v>
      </c>
      <c r="L307" s="1" t="s">
        <v>227</v>
      </c>
      <c r="M307" s="1">
        <v>5</v>
      </c>
      <c r="N307" s="1">
        <v>1454.39</v>
      </c>
    </row>
    <row r="308" spans="1:14" x14ac:dyDescent="0.25">
      <c r="A308" s="1">
        <v>1307</v>
      </c>
      <c r="B308" s="1" t="s">
        <v>328</v>
      </c>
      <c r="C308" s="1" t="s">
        <v>229</v>
      </c>
      <c r="D308" s="1" t="s">
        <v>214</v>
      </c>
      <c r="E308" s="1" t="s">
        <v>124</v>
      </c>
      <c r="F308" s="1" t="s">
        <v>225</v>
      </c>
      <c r="G308" s="1" t="s">
        <v>226</v>
      </c>
      <c r="H308" s="1" t="s">
        <v>221</v>
      </c>
      <c r="I308" s="1">
        <v>4</v>
      </c>
      <c r="J308" s="1">
        <v>19584</v>
      </c>
      <c r="K308" s="1">
        <v>66585.600000000006</v>
      </c>
      <c r="L308" s="1" t="s">
        <v>240</v>
      </c>
      <c r="M308" s="1">
        <v>15</v>
      </c>
      <c r="N308" s="1">
        <v>15200.22</v>
      </c>
    </row>
    <row r="309" spans="1:14" x14ac:dyDescent="0.25">
      <c r="A309" s="1">
        <v>1308</v>
      </c>
      <c r="B309" s="1" t="s">
        <v>329</v>
      </c>
      <c r="C309" s="1" t="s">
        <v>223</v>
      </c>
      <c r="D309" s="1" t="s">
        <v>245</v>
      </c>
      <c r="E309" s="1" t="s">
        <v>124</v>
      </c>
      <c r="F309" s="1" t="s">
        <v>230</v>
      </c>
      <c r="G309" s="1" t="s">
        <v>242</v>
      </c>
      <c r="H309" s="1" t="s">
        <v>234</v>
      </c>
      <c r="I309" s="1">
        <v>1</v>
      </c>
      <c r="J309" s="1">
        <v>11846</v>
      </c>
      <c r="K309" s="1">
        <v>10661.4</v>
      </c>
      <c r="L309" s="1" t="s">
        <v>222</v>
      </c>
      <c r="M309" s="1">
        <v>10</v>
      </c>
      <c r="N309" s="1">
        <v>2230.27</v>
      </c>
    </row>
    <row r="310" spans="1:14" x14ac:dyDescent="0.25">
      <c r="A310" s="1">
        <v>1309</v>
      </c>
      <c r="B310" s="1" t="s">
        <v>329</v>
      </c>
      <c r="C310" s="1" t="s">
        <v>213</v>
      </c>
      <c r="D310" s="1" t="s">
        <v>245</v>
      </c>
      <c r="E310" s="1" t="s">
        <v>124</v>
      </c>
      <c r="F310" s="1" t="s">
        <v>230</v>
      </c>
      <c r="G310" s="1" t="s">
        <v>242</v>
      </c>
      <c r="H310" s="1" t="s">
        <v>128</v>
      </c>
      <c r="I310" s="1">
        <v>5</v>
      </c>
      <c r="J310" s="1">
        <v>42716</v>
      </c>
      <c r="K310" s="1">
        <v>202901</v>
      </c>
      <c r="L310" s="1" t="s">
        <v>240</v>
      </c>
      <c r="M310" s="1">
        <v>5</v>
      </c>
      <c r="N310" s="1">
        <v>60374.47</v>
      </c>
    </row>
    <row r="311" spans="1:14" x14ac:dyDescent="0.25">
      <c r="A311" s="1">
        <v>1310</v>
      </c>
      <c r="B311" s="1" t="s">
        <v>330</v>
      </c>
      <c r="C311" s="1" t="s">
        <v>239</v>
      </c>
      <c r="D311" s="1" t="s">
        <v>224</v>
      </c>
      <c r="E311" s="1" t="s">
        <v>233</v>
      </c>
      <c r="F311" s="1" t="s">
        <v>225</v>
      </c>
      <c r="G311" s="1" t="s">
        <v>226</v>
      </c>
      <c r="H311" s="1" t="s">
        <v>221</v>
      </c>
      <c r="I311" s="1">
        <v>4</v>
      </c>
      <c r="J311" s="1">
        <v>46939</v>
      </c>
      <c r="K311" s="1">
        <v>187756</v>
      </c>
      <c r="L311" s="1" t="s">
        <v>222</v>
      </c>
      <c r="M311" s="1">
        <v>0</v>
      </c>
      <c r="N311" s="1">
        <v>35353.17</v>
      </c>
    </row>
    <row r="312" spans="1:14" x14ac:dyDescent="0.25">
      <c r="A312" s="1">
        <v>1311</v>
      </c>
      <c r="B312" s="1" t="s">
        <v>330</v>
      </c>
      <c r="C312" s="1" t="s">
        <v>239</v>
      </c>
      <c r="D312" s="1" t="s">
        <v>245</v>
      </c>
      <c r="E312" s="1" t="s">
        <v>124</v>
      </c>
      <c r="F312" s="1" t="s">
        <v>230</v>
      </c>
      <c r="G312" s="1" t="s">
        <v>242</v>
      </c>
      <c r="H312" s="1" t="s">
        <v>128</v>
      </c>
      <c r="I312" s="1">
        <v>2</v>
      </c>
      <c r="J312" s="1">
        <v>22473</v>
      </c>
      <c r="K312" s="1">
        <v>44946</v>
      </c>
      <c r="L312" s="1" t="s">
        <v>227</v>
      </c>
      <c r="M312" s="1">
        <v>0</v>
      </c>
      <c r="N312" s="1">
        <v>11338.55</v>
      </c>
    </row>
    <row r="313" spans="1:14" x14ac:dyDescent="0.25">
      <c r="A313" s="1">
        <v>1312</v>
      </c>
      <c r="B313" s="1" t="s">
        <v>330</v>
      </c>
      <c r="C313" s="1" t="s">
        <v>223</v>
      </c>
      <c r="D313" s="1" t="s">
        <v>232</v>
      </c>
      <c r="E313" s="1" t="s">
        <v>233</v>
      </c>
      <c r="F313" s="1" t="s">
        <v>225</v>
      </c>
      <c r="G313" s="1" t="s">
        <v>226</v>
      </c>
      <c r="H313" s="1" t="s">
        <v>217</v>
      </c>
      <c r="I313" s="1">
        <v>2</v>
      </c>
      <c r="J313" s="1">
        <v>18603</v>
      </c>
      <c r="K313" s="1">
        <v>31625.1</v>
      </c>
      <c r="L313" s="1" t="s">
        <v>240</v>
      </c>
      <c r="M313" s="1">
        <v>15</v>
      </c>
      <c r="N313" s="1">
        <v>5084.01</v>
      </c>
    </row>
    <row r="314" spans="1:14" x14ac:dyDescent="0.25">
      <c r="A314" s="1">
        <v>1313</v>
      </c>
      <c r="B314" s="1" t="s">
        <v>330</v>
      </c>
      <c r="C314" s="1" t="s">
        <v>239</v>
      </c>
      <c r="D314" s="1" t="s">
        <v>224</v>
      </c>
      <c r="E314" s="1" t="s">
        <v>233</v>
      </c>
      <c r="F314" s="1" t="s">
        <v>230</v>
      </c>
      <c r="G314" s="1" t="s">
        <v>242</v>
      </c>
      <c r="H314" s="1" t="s">
        <v>128</v>
      </c>
      <c r="I314" s="1">
        <v>4</v>
      </c>
      <c r="J314" s="1">
        <v>18924</v>
      </c>
      <c r="K314" s="1">
        <v>71911.199999999997</v>
      </c>
      <c r="L314" s="1" t="s">
        <v>218</v>
      </c>
      <c r="M314" s="1">
        <v>5</v>
      </c>
      <c r="N314" s="1">
        <v>18366.89</v>
      </c>
    </row>
    <row r="315" spans="1:14" x14ac:dyDescent="0.25">
      <c r="A315" s="1">
        <v>1314</v>
      </c>
      <c r="B315" s="1" t="s">
        <v>330</v>
      </c>
      <c r="C315" s="1" t="s">
        <v>239</v>
      </c>
      <c r="D315" s="1" t="s">
        <v>232</v>
      </c>
      <c r="E315" s="1" t="s">
        <v>233</v>
      </c>
      <c r="F315" s="1" t="s">
        <v>225</v>
      </c>
      <c r="G315" s="1" t="s">
        <v>248</v>
      </c>
      <c r="H315" s="1" t="s">
        <v>221</v>
      </c>
      <c r="I315" s="1">
        <v>5</v>
      </c>
      <c r="J315" s="1">
        <v>36649</v>
      </c>
      <c r="K315" s="1">
        <v>155758.25</v>
      </c>
      <c r="L315" s="1" t="s">
        <v>218</v>
      </c>
      <c r="M315" s="1">
        <v>15</v>
      </c>
      <c r="N315" s="1">
        <v>27528.66</v>
      </c>
    </row>
    <row r="316" spans="1:14" x14ac:dyDescent="0.25">
      <c r="A316" s="1">
        <v>1315</v>
      </c>
      <c r="B316" s="1" t="s">
        <v>331</v>
      </c>
      <c r="C316" s="1" t="s">
        <v>213</v>
      </c>
      <c r="D316" s="1" t="s">
        <v>214</v>
      </c>
      <c r="E316" s="1" t="s">
        <v>124</v>
      </c>
      <c r="F316" s="1" t="s">
        <v>230</v>
      </c>
      <c r="G316" s="1" t="s">
        <v>242</v>
      </c>
      <c r="H316" s="1" t="s">
        <v>221</v>
      </c>
      <c r="I316" s="1">
        <v>2</v>
      </c>
      <c r="J316" s="1">
        <v>31418</v>
      </c>
      <c r="K316" s="1">
        <v>53410.6</v>
      </c>
      <c r="L316" s="1" t="s">
        <v>240</v>
      </c>
      <c r="M316" s="1">
        <v>15</v>
      </c>
      <c r="N316" s="1">
        <v>12886.06</v>
      </c>
    </row>
    <row r="317" spans="1:14" x14ac:dyDescent="0.25">
      <c r="A317" s="1">
        <v>1316</v>
      </c>
      <c r="B317" s="1" t="s">
        <v>331</v>
      </c>
      <c r="C317" s="1" t="s">
        <v>213</v>
      </c>
      <c r="D317" s="1" t="s">
        <v>214</v>
      </c>
      <c r="E317" s="1" t="s">
        <v>124</v>
      </c>
      <c r="F317" s="1" t="s">
        <v>230</v>
      </c>
      <c r="G317" s="1" t="s">
        <v>231</v>
      </c>
      <c r="H317" s="1" t="s">
        <v>217</v>
      </c>
      <c r="I317" s="1">
        <v>1</v>
      </c>
      <c r="J317" s="1">
        <v>8287</v>
      </c>
      <c r="K317" s="1">
        <v>7458.3</v>
      </c>
      <c r="L317" s="1" t="s">
        <v>240</v>
      </c>
      <c r="M317" s="1">
        <v>10</v>
      </c>
      <c r="N317" s="1">
        <v>2108.6999999999998</v>
      </c>
    </row>
    <row r="318" spans="1:14" x14ac:dyDescent="0.25">
      <c r="A318" s="1">
        <v>1317</v>
      </c>
      <c r="B318" s="1" t="s">
        <v>331</v>
      </c>
      <c r="C318" s="1" t="s">
        <v>223</v>
      </c>
      <c r="D318" s="1" t="s">
        <v>214</v>
      </c>
      <c r="E318" s="1" t="s">
        <v>124</v>
      </c>
      <c r="F318" s="1" t="s">
        <v>215</v>
      </c>
      <c r="G318" s="1" t="s">
        <v>244</v>
      </c>
      <c r="H318" s="1" t="s">
        <v>217</v>
      </c>
      <c r="I318" s="1">
        <v>1</v>
      </c>
      <c r="J318" s="1">
        <v>12188</v>
      </c>
      <c r="K318" s="1">
        <v>12188</v>
      </c>
      <c r="L318" s="1" t="s">
        <v>227</v>
      </c>
      <c r="M318" s="1">
        <v>0</v>
      </c>
      <c r="N318" s="1">
        <v>2586.25</v>
      </c>
    </row>
    <row r="319" spans="1:14" x14ac:dyDescent="0.25">
      <c r="A319" s="1">
        <v>1318</v>
      </c>
      <c r="B319" s="1" t="s">
        <v>331</v>
      </c>
      <c r="C319" s="1" t="s">
        <v>223</v>
      </c>
      <c r="D319" s="1" t="s">
        <v>245</v>
      </c>
      <c r="E319" s="1" t="s">
        <v>124</v>
      </c>
      <c r="F319" s="1" t="s">
        <v>215</v>
      </c>
      <c r="G319" s="1" t="s">
        <v>216</v>
      </c>
      <c r="H319" s="1" t="s">
        <v>128</v>
      </c>
      <c r="I319" s="1">
        <v>4</v>
      </c>
      <c r="J319" s="1">
        <v>15168</v>
      </c>
      <c r="K319" s="1">
        <v>60672</v>
      </c>
      <c r="L319" s="1" t="s">
        <v>218</v>
      </c>
      <c r="M319" s="1">
        <v>0</v>
      </c>
      <c r="N319" s="1">
        <v>8736.7900000000009</v>
      </c>
    </row>
    <row r="320" spans="1:14" x14ac:dyDescent="0.25">
      <c r="A320" s="1">
        <v>1319</v>
      </c>
      <c r="B320" s="1" t="s">
        <v>332</v>
      </c>
      <c r="C320" s="1" t="s">
        <v>213</v>
      </c>
      <c r="D320" s="1" t="s">
        <v>245</v>
      </c>
      <c r="E320" s="1" t="s">
        <v>124</v>
      </c>
      <c r="F320" s="1" t="s">
        <v>230</v>
      </c>
      <c r="G320" s="1" t="s">
        <v>242</v>
      </c>
      <c r="H320" s="1" t="s">
        <v>217</v>
      </c>
      <c r="I320" s="1">
        <v>2</v>
      </c>
      <c r="J320" s="1">
        <v>24363</v>
      </c>
      <c r="K320" s="1">
        <v>41417.1</v>
      </c>
      <c r="L320" s="1" t="s">
        <v>222</v>
      </c>
      <c r="M320" s="1">
        <v>15</v>
      </c>
      <c r="N320" s="1">
        <v>7464.37</v>
      </c>
    </row>
    <row r="321" spans="1:14" x14ac:dyDescent="0.25">
      <c r="A321" s="1">
        <v>1320</v>
      </c>
      <c r="B321" s="1" t="s">
        <v>332</v>
      </c>
      <c r="C321" s="1" t="s">
        <v>219</v>
      </c>
      <c r="D321" s="1" t="s">
        <v>232</v>
      </c>
      <c r="E321" s="1" t="s">
        <v>233</v>
      </c>
      <c r="F321" s="1" t="s">
        <v>215</v>
      </c>
      <c r="G321" s="1" t="s">
        <v>216</v>
      </c>
      <c r="H321" s="1" t="s">
        <v>221</v>
      </c>
      <c r="I321" s="1">
        <v>4</v>
      </c>
      <c r="J321" s="1">
        <v>31500</v>
      </c>
      <c r="K321" s="1">
        <v>107100</v>
      </c>
      <c r="L321" s="1" t="s">
        <v>218</v>
      </c>
      <c r="M321" s="1">
        <v>15</v>
      </c>
      <c r="N321" s="1">
        <v>22750.82</v>
      </c>
    </row>
    <row r="322" spans="1:14" x14ac:dyDescent="0.25">
      <c r="A322" s="1">
        <v>1321</v>
      </c>
      <c r="B322" s="1" t="s">
        <v>333</v>
      </c>
      <c r="C322" s="1" t="s">
        <v>213</v>
      </c>
      <c r="D322" s="1" t="s">
        <v>214</v>
      </c>
      <c r="E322" s="1" t="s">
        <v>124</v>
      </c>
      <c r="F322" s="1" t="s">
        <v>215</v>
      </c>
      <c r="G322" s="1" t="s">
        <v>246</v>
      </c>
      <c r="H322" s="1" t="s">
        <v>221</v>
      </c>
      <c r="I322" s="1">
        <v>1</v>
      </c>
      <c r="J322" s="1">
        <v>36934</v>
      </c>
      <c r="K322" s="1">
        <v>36934</v>
      </c>
      <c r="L322" s="1" t="s">
        <v>218</v>
      </c>
      <c r="M322" s="1">
        <v>0</v>
      </c>
      <c r="N322" s="1">
        <v>3990.42</v>
      </c>
    </row>
    <row r="323" spans="1:14" x14ac:dyDescent="0.25">
      <c r="A323" s="1">
        <v>1322</v>
      </c>
      <c r="B323" s="1" t="s">
        <v>333</v>
      </c>
      <c r="C323" s="1" t="s">
        <v>223</v>
      </c>
      <c r="D323" s="1" t="s">
        <v>245</v>
      </c>
      <c r="E323" s="1" t="s">
        <v>124</v>
      </c>
      <c r="F323" s="1" t="s">
        <v>225</v>
      </c>
      <c r="G323" s="1" t="s">
        <v>226</v>
      </c>
      <c r="H323" s="1" t="s">
        <v>234</v>
      </c>
      <c r="I323" s="1">
        <v>5</v>
      </c>
      <c r="J323" s="1">
        <v>39114</v>
      </c>
      <c r="K323" s="1">
        <v>185791.5</v>
      </c>
      <c r="L323" s="1" t="s">
        <v>222</v>
      </c>
      <c r="M323" s="1">
        <v>5</v>
      </c>
      <c r="N323" s="1">
        <v>25829.79</v>
      </c>
    </row>
    <row r="324" spans="1:14" x14ac:dyDescent="0.25">
      <c r="A324" s="1">
        <v>1323</v>
      </c>
      <c r="B324" s="1" t="s">
        <v>333</v>
      </c>
      <c r="C324" s="1" t="s">
        <v>223</v>
      </c>
      <c r="D324" s="1" t="s">
        <v>245</v>
      </c>
      <c r="E324" s="1" t="s">
        <v>124</v>
      </c>
      <c r="F324" s="1" t="s">
        <v>225</v>
      </c>
      <c r="G324" s="1" t="s">
        <v>236</v>
      </c>
      <c r="H324" s="1" t="s">
        <v>217</v>
      </c>
      <c r="I324" s="1">
        <v>3</v>
      </c>
      <c r="J324" s="1">
        <v>44459</v>
      </c>
      <c r="K324" s="1">
        <v>126708.15</v>
      </c>
      <c r="L324" s="1" t="s">
        <v>218</v>
      </c>
      <c r="M324" s="1">
        <v>5</v>
      </c>
      <c r="N324" s="1">
        <v>15411.69</v>
      </c>
    </row>
    <row r="325" spans="1:14" x14ac:dyDescent="0.25">
      <c r="A325" s="1">
        <v>1324</v>
      </c>
      <c r="B325" s="1" t="s">
        <v>334</v>
      </c>
      <c r="C325" s="1" t="s">
        <v>239</v>
      </c>
      <c r="D325" s="1" t="s">
        <v>220</v>
      </c>
      <c r="E325" s="1" t="s">
        <v>85</v>
      </c>
      <c r="F325" s="1" t="s">
        <v>215</v>
      </c>
      <c r="G325" s="1" t="s">
        <v>246</v>
      </c>
      <c r="H325" s="1" t="s">
        <v>128</v>
      </c>
      <c r="I325" s="1">
        <v>5</v>
      </c>
      <c r="J325" s="1">
        <v>21218</v>
      </c>
      <c r="K325" s="1">
        <v>100785.5</v>
      </c>
      <c r="L325" s="1" t="s">
        <v>218</v>
      </c>
      <c r="M325" s="1">
        <v>5</v>
      </c>
      <c r="N325" s="1">
        <v>27351.06</v>
      </c>
    </row>
    <row r="326" spans="1:14" x14ac:dyDescent="0.25">
      <c r="A326" s="1">
        <v>1325</v>
      </c>
      <c r="B326" s="1" t="s">
        <v>334</v>
      </c>
      <c r="C326" s="1" t="s">
        <v>223</v>
      </c>
      <c r="D326" s="1" t="s">
        <v>245</v>
      </c>
      <c r="E326" s="1" t="s">
        <v>124</v>
      </c>
      <c r="F326" s="1" t="s">
        <v>215</v>
      </c>
      <c r="G326" s="1" t="s">
        <v>246</v>
      </c>
      <c r="H326" s="1" t="s">
        <v>221</v>
      </c>
      <c r="I326" s="1">
        <v>4</v>
      </c>
      <c r="J326" s="1">
        <v>16965</v>
      </c>
      <c r="K326" s="1">
        <v>64467</v>
      </c>
      <c r="L326" s="1" t="s">
        <v>240</v>
      </c>
      <c r="M326" s="1">
        <v>5</v>
      </c>
      <c r="N326" s="1">
        <v>12562.96</v>
      </c>
    </row>
    <row r="327" spans="1:14" x14ac:dyDescent="0.25">
      <c r="A327" s="1">
        <v>1326</v>
      </c>
      <c r="B327" s="1" t="s">
        <v>335</v>
      </c>
      <c r="C327" s="1" t="s">
        <v>219</v>
      </c>
      <c r="D327" s="1" t="s">
        <v>224</v>
      </c>
      <c r="E327" s="1" t="s">
        <v>233</v>
      </c>
      <c r="F327" s="1" t="s">
        <v>215</v>
      </c>
      <c r="G327" s="1" t="s">
        <v>244</v>
      </c>
      <c r="H327" s="1" t="s">
        <v>128</v>
      </c>
      <c r="I327" s="1">
        <v>5</v>
      </c>
      <c r="J327" s="1">
        <v>3809</v>
      </c>
      <c r="K327" s="1">
        <v>16188.25</v>
      </c>
      <c r="L327" s="1" t="s">
        <v>227</v>
      </c>
      <c r="M327" s="1">
        <v>15</v>
      </c>
      <c r="N327" s="1">
        <v>3577.76</v>
      </c>
    </row>
    <row r="328" spans="1:14" x14ac:dyDescent="0.25">
      <c r="A328" s="1">
        <v>1327</v>
      </c>
      <c r="B328" s="1" t="s">
        <v>335</v>
      </c>
      <c r="C328" s="1" t="s">
        <v>223</v>
      </c>
      <c r="D328" s="1" t="s">
        <v>224</v>
      </c>
      <c r="E328" s="1" t="s">
        <v>233</v>
      </c>
      <c r="F328" s="1" t="s">
        <v>225</v>
      </c>
      <c r="G328" s="1" t="s">
        <v>236</v>
      </c>
      <c r="H328" s="1" t="s">
        <v>217</v>
      </c>
      <c r="I328" s="1">
        <v>1</v>
      </c>
      <c r="J328" s="1">
        <v>43783</v>
      </c>
      <c r="K328" s="1">
        <v>41593.85</v>
      </c>
      <c r="L328" s="1" t="s">
        <v>227</v>
      </c>
      <c r="M328" s="1">
        <v>5</v>
      </c>
      <c r="N328" s="1">
        <v>8843.9699999999993</v>
      </c>
    </row>
    <row r="329" spans="1:14" x14ac:dyDescent="0.25">
      <c r="A329" s="1">
        <v>1328</v>
      </c>
      <c r="B329" s="1" t="s">
        <v>336</v>
      </c>
      <c r="C329" s="1" t="s">
        <v>219</v>
      </c>
      <c r="D329" s="1" t="s">
        <v>224</v>
      </c>
      <c r="E329" s="1" t="s">
        <v>233</v>
      </c>
      <c r="F329" s="1" t="s">
        <v>225</v>
      </c>
      <c r="G329" s="1" t="s">
        <v>226</v>
      </c>
      <c r="H329" s="1" t="s">
        <v>128</v>
      </c>
      <c r="I329" s="1">
        <v>4</v>
      </c>
      <c r="J329" s="1">
        <v>9773</v>
      </c>
      <c r="K329" s="1">
        <v>33228.199999999997</v>
      </c>
      <c r="L329" s="1" t="s">
        <v>218</v>
      </c>
      <c r="M329" s="1">
        <v>15</v>
      </c>
      <c r="N329" s="1">
        <v>7378.39</v>
      </c>
    </row>
    <row r="330" spans="1:14" x14ac:dyDescent="0.25">
      <c r="A330" s="1">
        <v>1329</v>
      </c>
      <c r="B330" s="1" t="s">
        <v>336</v>
      </c>
      <c r="C330" s="1" t="s">
        <v>219</v>
      </c>
      <c r="D330" s="1" t="s">
        <v>232</v>
      </c>
      <c r="E330" s="1" t="s">
        <v>233</v>
      </c>
      <c r="F330" s="1" t="s">
        <v>230</v>
      </c>
      <c r="G330" s="1" t="s">
        <v>231</v>
      </c>
      <c r="H330" s="1" t="s">
        <v>128</v>
      </c>
      <c r="I330" s="1">
        <v>5</v>
      </c>
      <c r="J330" s="1">
        <v>44376</v>
      </c>
      <c r="K330" s="1">
        <v>188598</v>
      </c>
      <c r="L330" s="1" t="s">
        <v>240</v>
      </c>
      <c r="M330" s="1">
        <v>15</v>
      </c>
      <c r="N330" s="1">
        <v>28080.16</v>
      </c>
    </row>
    <row r="331" spans="1:14" x14ac:dyDescent="0.25">
      <c r="A331" s="1">
        <v>1330</v>
      </c>
      <c r="B331" s="1" t="s">
        <v>336</v>
      </c>
      <c r="C331" s="1" t="s">
        <v>239</v>
      </c>
      <c r="D331" s="1" t="s">
        <v>214</v>
      </c>
      <c r="E331" s="1" t="s">
        <v>124</v>
      </c>
      <c r="F331" s="1" t="s">
        <v>230</v>
      </c>
      <c r="G331" s="1" t="s">
        <v>231</v>
      </c>
      <c r="H331" s="1" t="s">
        <v>128</v>
      </c>
      <c r="I331" s="1">
        <v>2</v>
      </c>
      <c r="J331" s="1">
        <v>48256</v>
      </c>
      <c r="K331" s="1">
        <v>96512</v>
      </c>
      <c r="L331" s="1" t="s">
        <v>240</v>
      </c>
      <c r="M331" s="1">
        <v>0</v>
      </c>
      <c r="N331" s="1">
        <v>10712.8</v>
      </c>
    </row>
    <row r="332" spans="1:14" x14ac:dyDescent="0.25">
      <c r="A332" s="1">
        <v>1331</v>
      </c>
      <c r="B332" s="1" t="s">
        <v>336</v>
      </c>
      <c r="C332" s="1" t="s">
        <v>219</v>
      </c>
      <c r="D332" s="1" t="s">
        <v>224</v>
      </c>
      <c r="E332" s="1" t="s">
        <v>233</v>
      </c>
      <c r="F332" s="1" t="s">
        <v>215</v>
      </c>
      <c r="G332" s="1" t="s">
        <v>244</v>
      </c>
      <c r="H332" s="1" t="s">
        <v>128</v>
      </c>
      <c r="I332" s="1">
        <v>4</v>
      </c>
      <c r="J332" s="1">
        <v>3669</v>
      </c>
      <c r="K332" s="1">
        <v>13942.2</v>
      </c>
      <c r="L332" s="1" t="s">
        <v>227</v>
      </c>
      <c r="M332" s="1">
        <v>5</v>
      </c>
      <c r="N332" s="1">
        <v>3945.72</v>
      </c>
    </row>
    <row r="333" spans="1:14" x14ac:dyDescent="0.25">
      <c r="A333" s="1">
        <v>1332</v>
      </c>
      <c r="B333" s="1" t="s">
        <v>337</v>
      </c>
      <c r="C333" s="1" t="s">
        <v>239</v>
      </c>
      <c r="D333" s="1" t="s">
        <v>224</v>
      </c>
      <c r="E333" s="1" t="s">
        <v>233</v>
      </c>
      <c r="F333" s="1" t="s">
        <v>225</v>
      </c>
      <c r="G333" s="1" t="s">
        <v>226</v>
      </c>
      <c r="H333" s="1" t="s">
        <v>128</v>
      </c>
      <c r="I333" s="1">
        <v>5</v>
      </c>
      <c r="J333" s="1">
        <v>24592</v>
      </c>
      <c r="K333" s="1">
        <v>122960</v>
      </c>
      <c r="L333" s="1" t="s">
        <v>218</v>
      </c>
      <c r="M333" s="1">
        <v>0</v>
      </c>
      <c r="N333" s="1">
        <v>16285.95</v>
      </c>
    </row>
    <row r="334" spans="1:14" x14ac:dyDescent="0.25">
      <c r="A334" s="1">
        <v>1333</v>
      </c>
      <c r="B334" s="1" t="s">
        <v>337</v>
      </c>
      <c r="C334" s="1" t="s">
        <v>219</v>
      </c>
      <c r="D334" s="1" t="s">
        <v>220</v>
      </c>
      <c r="E334" s="1" t="s">
        <v>85</v>
      </c>
      <c r="F334" s="1" t="s">
        <v>230</v>
      </c>
      <c r="G334" s="1" t="s">
        <v>231</v>
      </c>
      <c r="H334" s="1" t="s">
        <v>217</v>
      </c>
      <c r="I334" s="1">
        <v>1</v>
      </c>
      <c r="J334" s="1">
        <v>6814</v>
      </c>
      <c r="K334" s="1">
        <v>6132.6</v>
      </c>
      <c r="L334" s="1" t="s">
        <v>227</v>
      </c>
      <c r="M334" s="1">
        <v>10</v>
      </c>
      <c r="N334" s="1">
        <v>616.13</v>
      </c>
    </row>
    <row r="335" spans="1:14" x14ac:dyDescent="0.25">
      <c r="A335" s="1">
        <v>1334</v>
      </c>
      <c r="B335" s="1" t="s">
        <v>337</v>
      </c>
      <c r="C335" s="1" t="s">
        <v>223</v>
      </c>
      <c r="D335" s="1" t="s">
        <v>220</v>
      </c>
      <c r="E335" s="1" t="s">
        <v>85</v>
      </c>
      <c r="F335" s="1" t="s">
        <v>230</v>
      </c>
      <c r="G335" s="1" t="s">
        <v>242</v>
      </c>
      <c r="H335" s="1" t="s">
        <v>217</v>
      </c>
      <c r="I335" s="1">
        <v>4</v>
      </c>
      <c r="J335" s="1">
        <v>25493</v>
      </c>
      <c r="K335" s="1">
        <v>96873.4</v>
      </c>
      <c r="L335" s="1" t="s">
        <v>240</v>
      </c>
      <c r="M335" s="1">
        <v>5</v>
      </c>
      <c r="N335" s="1">
        <v>15066.78</v>
      </c>
    </row>
    <row r="336" spans="1:14" x14ac:dyDescent="0.25">
      <c r="A336" s="1">
        <v>1335</v>
      </c>
      <c r="B336" s="1" t="s">
        <v>338</v>
      </c>
      <c r="C336" s="1" t="s">
        <v>219</v>
      </c>
      <c r="D336" s="1" t="s">
        <v>232</v>
      </c>
      <c r="E336" s="1" t="s">
        <v>233</v>
      </c>
      <c r="F336" s="1" t="s">
        <v>225</v>
      </c>
      <c r="G336" s="1" t="s">
        <v>236</v>
      </c>
      <c r="H336" s="1" t="s">
        <v>221</v>
      </c>
      <c r="I336" s="1">
        <v>4</v>
      </c>
      <c r="J336" s="1">
        <v>48855</v>
      </c>
      <c r="K336" s="1">
        <v>185649</v>
      </c>
      <c r="L336" s="1" t="s">
        <v>222</v>
      </c>
      <c r="M336" s="1">
        <v>5</v>
      </c>
      <c r="N336" s="1">
        <v>27958.99</v>
      </c>
    </row>
    <row r="337" spans="1:14" x14ac:dyDescent="0.25">
      <c r="A337" s="1">
        <v>1336</v>
      </c>
      <c r="B337" s="1" t="s">
        <v>338</v>
      </c>
      <c r="C337" s="1" t="s">
        <v>239</v>
      </c>
      <c r="D337" s="1" t="s">
        <v>224</v>
      </c>
      <c r="E337" s="1" t="s">
        <v>233</v>
      </c>
      <c r="F337" s="1" t="s">
        <v>230</v>
      </c>
      <c r="G337" s="1" t="s">
        <v>241</v>
      </c>
      <c r="H337" s="1" t="s">
        <v>221</v>
      </c>
      <c r="I337" s="1">
        <v>4</v>
      </c>
      <c r="J337" s="1">
        <v>15501</v>
      </c>
      <c r="K337" s="1">
        <v>52703.4</v>
      </c>
      <c r="L337" s="1" t="s">
        <v>227</v>
      </c>
      <c r="M337" s="1">
        <v>15</v>
      </c>
      <c r="N337" s="1">
        <v>5878.36</v>
      </c>
    </row>
    <row r="338" spans="1:14" x14ac:dyDescent="0.25">
      <c r="A338" s="1">
        <v>1337</v>
      </c>
      <c r="B338" s="1" t="s">
        <v>338</v>
      </c>
      <c r="C338" s="1" t="s">
        <v>213</v>
      </c>
      <c r="D338" s="1" t="s">
        <v>245</v>
      </c>
      <c r="E338" s="1" t="s">
        <v>124</v>
      </c>
      <c r="F338" s="1" t="s">
        <v>215</v>
      </c>
      <c r="G338" s="1" t="s">
        <v>216</v>
      </c>
      <c r="H338" s="1" t="s">
        <v>234</v>
      </c>
      <c r="I338" s="1">
        <v>1</v>
      </c>
      <c r="J338" s="1">
        <v>22976</v>
      </c>
      <c r="K338" s="1">
        <v>22976</v>
      </c>
      <c r="L338" s="1" t="s">
        <v>218</v>
      </c>
      <c r="M338" s="1">
        <v>0</v>
      </c>
      <c r="N338" s="1">
        <v>4460.6499999999996</v>
      </c>
    </row>
    <row r="339" spans="1:14" x14ac:dyDescent="0.25">
      <c r="A339" s="1">
        <v>1338</v>
      </c>
      <c r="B339" s="1" t="s">
        <v>338</v>
      </c>
      <c r="C339" s="1" t="s">
        <v>223</v>
      </c>
      <c r="D339" s="1" t="s">
        <v>245</v>
      </c>
      <c r="E339" s="1" t="s">
        <v>124</v>
      </c>
      <c r="F339" s="1" t="s">
        <v>215</v>
      </c>
      <c r="G339" s="1" t="s">
        <v>216</v>
      </c>
      <c r="H339" s="1" t="s">
        <v>221</v>
      </c>
      <c r="I339" s="1">
        <v>5</v>
      </c>
      <c r="J339" s="1">
        <v>45215</v>
      </c>
      <c r="K339" s="1">
        <v>214771.25</v>
      </c>
      <c r="L339" s="1" t="s">
        <v>218</v>
      </c>
      <c r="M339" s="1">
        <v>5</v>
      </c>
      <c r="N339" s="1">
        <v>32626.01</v>
      </c>
    </row>
    <row r="340" spans="1:14" x14ac:dyDescent="0.25">
      <c r="A340" s="1">
        <v>1339</v>
      </c>
      <c r="B340" s="1" t="s">
        <v>339</v>
      </c>
      <c r="C340" s="1" t="s">
        <v>239</v>
      </c>
      <c r="D340" s="1" t="s">
        <v>232</v>
      </c>
      <c r="E340" s="1" t="s">
        <v>233</v>
      </c>
      <c r="F340" s="1" t="s">
        <v>225</v>
      </c>
      <c r="G340" s="1" t="s">
        <v>226</v>
      </c>
      <c r="H340" s="1" t="s">
        <v>221</v>
      </c>
      <c r="I340" s="1">
        <v>2</v>
      </c>
      <c r="J340" s="1">
        <v>44983</v>
      </c>
      <c r="K340" s="1">
        <v>76471.100000000006</v>
      </c>
      <c r="L340" s="1" t="s">
        <v>227</v>
      </c>
      <c r="M340" s="1">
        <v>15</v>
      </c>
      <c r="N340" s="1">
        <v>15597.52</v>
      </c>
    </row>
    <row r="341" spans="1:14" x14ac:dyDescent="0.25">
      <c r="A341" s="1">
        <v>1340</v>
      </c>
      <c r="B341" s="1" t="s">
        <v>339</v>
      </c>
      <c r="C341" s="1" t="s">
        <v>223</v>
      </c>
      <c r="D341" s="1" t="s">
        <v>214</v>
      </c>
      <c r="E341" s="1" t="s">
        <v>124</v>
      </c>
      <c r="F341" s="1" t="s">
        <v>225</v>
      </c>
      <c r="G341" s="1" t="s">
        <v>236</v>
      </c>
      <c r="H341" s="1" t="s">
        <v>221</v>
      </c>
      <c r="I341" s="1">
        <v>1</v>
      </c>
      <c r="J341" s="1">
        <v>1533</v>
      </c>
      <c r="K341" s="1">
        <v>1456.35</v>
      </c>
      <c r="L341" s="1" t="s">
        <v>227</v>
      </c>
      <c r="M341" s="1">
        <v>5</v>
      </c>
      <c r="N341" s="1">
        <v>397.1</v>
      </c>
    </row>
    <row r="342" spans="1:14" x14ac:dyDescent="0.25">
      <c r="A342" s="1">
        <v>1341</v>
      </c>
      <c r="B342" s="1" t="s">
        <v>339</v>
      </c>
      <c r="C342" s="1" t="s">
        <v>229</v>
      </c>
      <c r="D342" s="1" t="s">
        <v>220</v>
      </c>
      <c r="E342" s="1" t="s">
        <v>85</v>
      </c>
      <c r="F342" s="1" t="s">
        <v>215</v>
      </c>
      <c r="G342" s="1" t="s">
        <v>216</v>
      </c>
      <c r="H342" s="1" t="s">
        <v>221</v>
      </c>
      <c r="I342" s="1">
        <v>1</v>
      </c>
      <c r="J342" s="1">
        <v>43190</v>
      </c>
      <c r="K342" s="1">
        <v>38871</v>
      </c>
      <c r="L342" s="1" t="s">
        <v>222</v>
      </c>
      <c r="M342" s="1">
        <v>10</v>
      </c>
      <c r="N342" s="1">
        <v>8947.82</v>
      </c>
    </row>
    <row r="343" spans="1:14" x14ac:dyDescent="0.25">
      <c r="A343" s="1">
        <v>1342</v>
      </c>
      <c r="B343" s="1" t="s">
        <v>339</v>
      </c>
      <c r="C343" s="1" t="s">
        <v>229</v>
      </c>
      <c r="D343" s="1" t="s">
        <v>214</v>
      </c>
      <c r="E343" s="1" t="s">
        <v>124</v>
      </c>
      <c r="F343" s="1" t="s">
        <v>230</v>
      </c>
      <c r="G343" s="1" t="s">
        <v>241</v>
      </c>
      <c r="H343" s="1" t="s">
        <v>217</v>
      </c>
      <c r="I343" s="1">
        <v>4</v>
      </c>
      <c r="J343" s="1">
        <v>37873</v>
      </c>
      <c r="K343" s="1">
        <v>143917.4</v>
      </c>
      <c r="L343" s="1" t="s">
        <v>218</v>
      </c>
      <c r="M343" s="1">
        <v>5</v>
      </c>
      <c r="N343" s="1">
        <v>24423.72</v>
      </c>
    </row>
    <row r="344" spans="1:14" x14ac:dyDescent="0.25">
      <c r="A344" s="1">
        <v>1343</v>
      </c>
      <c r="B344" s="1" t="s">
        <v>339</v>
      </c>
      <c r="C344" s="1" t="s">
        <v>223</v>
      </c>
      <c r="D344" s="1" t="s">
        <v>232</v>
      </c>
      <c r="E344" s="1" t="s">
        <v>233</v>
      </c>
      <c r="F344" s="1" t="s">
        <v>225</v>
      </c>
      <c r="G344" s="1" t="s">
        <v>248</v>
      </c>
      <c r="H344" s="1" t="s">
        <v>221</v>
      </c>
      <c r="I344" s="1">
        <v>3</v>
      </c>
      <c r="J344" s="1">
        <v>33140</v>
      </c>
      <c r="K344" s="1">
        <v>89478</v>
      </c>
      <c r="L344" s="1" t="s">
        <v>240</v>
      </c>
      <c r="M344" s="1">
        <v>10</v>
      </c>
      <c r="N344" s="1">
        <v>25018.21</v>
      </c>
    </row>
    <row r="345" spans="1:14" x14ac:dyDescent="0.25">
      <c r="A345" s="1">
        <v>1344</v>
      </c>
      <c r="B345" s="1" t="s">
        <v>340</v>
      </c>
      <c r="C345" s="1" t="s">
        <v>223</v>
      </c>
      <c r="D345" s="1" t="s">
        <v>245</v>
      </c>
      <c r="E345" s="1" t="s">
        <v>124</v>
      </c>
      <c r="F345" s="1" t="s">
        <v>215</v>
      </c>
      <c r="G345" s="1" t="s">
        <v>246</v>
      </c>
      <c r="H345" s="1" t="s">
        <v>128</v>
      </c>
      <c r="I345" s="1">
        <v>4</v>
      </c>
      <c r="J345" s="1">
        <v>9612</v>
      </c>
      <c r="K345" s="1">
        <v>38448</v>
      </c>
      <c r="L345" s="1" t="s">
        <v>227</v>
      </c>
      <c r="M345" s="1">
        <v>0</v>
      </c>
      <c r="N345" s="1">
        <v>5454.6</v>
      </c>
    </row>
    <row r="346" spans="1:14" x14ac:dyDescent="0.25">
      <c r="A346" s="1">
        <v>1345</v>
      </c>
      <c r="B346" s="1" t="s">
        <v>340</v>
      </c>
      <c r="C346" s="1" t="s">
        <v>213</v>
      </c>
      <c r="D346" s="1" t="s">
        <v>224</v>
      </c>
      <c r="E346" s="1" t="s">
        <v>233</v>
      </c>
      <c r="F346" s="1" t="s">
        <v>215</v>
      </c>
      <c r="G346" s="1" t="s">
        <v>244</v>
      </c>
      <c r="H346" s="1" t="s">
        <v>217</v>
      </c>
      <c r="I346" s="1">
        <v>4</v>
      </c>
      <c r="J346" s="1">
        <v>37766</v>
      </c>
      <c r="K346" s="1">
        <v>128404.4</v>
      </c>
      <c r="L346" s="1" t="s">
        <v>240</v>
      </c>
      <c r="M346" s="1">
        <v>15</v>
      </c>
      <c r="N346" s="1">
        <v>24396.73</v>
      </c>
    </row>
    <row r="347" spans="1:14" x14ac:dyDescent="0.25">
      <c r="A347" s="1">
        <v>1346</v>
      </c>
      <c r="B347" s="1" t="s">
        <v>340</v>
      </c>
      <c r="C347" s="1" t="s">
        <v>219</v>
      </c>
      <c r="D347" s="1" t="s">
        <v>232</v>
      </c>
      <c r="E347" s="1" t="s">
        <v>233</v>
      </c>
      <c r="F347" s="1" t="s">
        <v>225</v>
      </c>
      <c r="G347" s="1" t="s">
        <v>248</v>
      </c>
      <c r="H347" s="1" t="s">
        <v>221</v>
      </c>
      <c r="I347" s="1">
        <v>2</v>
      </c>
      <c r="J347" s="1">
        <v>14494</v>
      </c>
      <c r="K347" s="1">
        <v>28988</v>
      </c>
      <c r="L347" s="1" t="s">
        <v>227</v>
      </c>
      <c r="M347" s="1">
        <v>0</v>
      </c>
      <c r="N347" s="1">
        <v>5411.44</v>
      </c>
    </row>
    <row r="348" spans="1:14" x14ac:dyDescent="0.25">
      <c r="A348" s="1">
        <v>1347</v>
      </c>
      <c r="B348" s="1" t="s">
        <v>341</v>
      </c>
      <c r="C348" s="1" t="s">
        <v>229</v>
      </c>
      <c r="D348" s="1" t="s">
        <v>224</v>
      </c>
      <c r="E348" s="1" t="s">
        <v>233</v>
      </c>
      <c r="F348" s="1" t="s">
        <v>215</v>
      </c>
      <c r="G348" s="1" t="s">
        <v>246</v>
      </c>
      <c r="H348" s="1" t="s">
        <v>221</v>
      </c>
      <c r="I348" s="1">
        <v>5</v>
      </c>
      <c r="J348" s="1">
        <v>13131</v>
      </c>
      <c r="K348" s="1">
        <v>55806.75</v>
      </c>
      <c r="L348" s="1" t="s">
        <v>240</v>
      </c>
      <c r="M348" s="1">
        <v>15</v>
      </c>
      <c r="N348" s="1">
        <v>6369.37</v>
      </c>
    </row>
    <row r="349" spans="1:14" x14ac:dyDescent="0.25">
      <c r="A349" s="1">
        <v>1348</v>
      </c>
      <c r="B349" s="1" t="s">
        <v>341</v>
      </c>
      <c r="C349" s="1" t="s">
        <v>223</v>
      </c>
      <c r="D349" s="1" t="s">
        <v>232</v>
      </c>
      <c r="E349" s="1" t="s">
        <v>233</v>
      </c>
      <c r="F349" s="1" t="s">
        <v>215</v>
      </c>
      <c r="G349" s="1" t="s">
        <v>216</v>
      </c>
      <c r="H349" s="1" t="s">
        <v>234</v>
      </c>
      <c r="I349" s="1">
        <v>3</v>
      </c>
      <c r="J349" s="1">
        <v>42501</v>
      </c>
      <c r="K349" s="1">
        <v>127503</v>
      </c>
      <c r="L349" s="1" t="s">
        <v>222</v>
      </c>
      <c r="M349" s="1">
        <v>0</v>
      </c>
      <c r="N349" s="1">
        <v>36616.559999999998</v>
      </c>
    </row>
    <row r="350" spans="1:14" x14ac:dyDescent="0.25">
      <c r="A350" s="1">
        <v>1349</v>
      </c>
      <c r="B350" s="1" t="s">
        <v>341</v>
      </c>
      <c r="C350" s="1" t="s">
        <v>213</v>
      </c>
      <c r="D350" s="1" t="s">
        <v>214</v>
      </c>
      <c r="E350" s="1" t="s">
        <v>124</v>
      </c>
      <c r="F350" s="1" t="s">
        <v>230</v>
      </c>
      <c r="G350" s="1" t="s">
        <v>242</v>
      </c>
      <c r="H350" s="1" t="s">
        <v>217</v>
      </c>
      <c r="I350" s="1">
        <v>3</v>
      </c>
      <c r="J350" s="1">
        <v>630</v>
      </c>
      <c r="K350" s="1">
        <v>1606.5</v>
      </c>
      <c r="L350" s="1" t="s">
        <v>218</v>
      </c>
      <c r="M350" s="1">
        <v>15</v>
      </c>
      <c r="N350" s="1">
        <v>259.07</v>
      </c>
    </row>
    <row r="351" spans="1:14" x14ac:dyDescent="0.25">
      <c r="A351" s="1">
        <v>1350</v>
      </c>
      <c r="B351" s="1" t="s">
        <v>341</v>
      </c>
      <c r="C351" s="1" t="s">
        <v>229</v>
      </c>
      <c r="D351" s="1" t="s">
        <v>245</v>
      </c>
      <c r="E351" s="1" t="s">
        <v>124</v>
      </c>
      <c r="F351" s="1" t="s">
        <v>230</v>
      </c>
      <c r="G351" s="1" t="s">
        <v>241</v>
      </c>
      <c r="H351" s="1" t="s">
        <v>217</v>
      </c>
      <c r="I351" s="1">
        <v>2</v>
      </c>
      <c r="J351" s="1">
        <v>49812</v>
      </c>
      <c r="K351" s="1">
        <v>94642.8</v>
      </c>
      <c r="L351" s="1" t="s">
        <v>227</v>
      </c>
      <c r="M351" s="1">
        <v>5</v>
      </c>
      <c r="N351" s="1">
        <v>20965.97</v>
      </c>
    </row>
    <row r="352" spans="1:14" x14ac:dyDescent="0.25">
      <c r="A352" s="1">
        <v>1351</v>
      </c>
      <c r="B352" s="1" t="s">
        <v>342</v>
      </c>
      <c r="C352" s="1" t="s">
        <v>219</v>
      </c>
      <c r="D352" s="1" t="s">
        <v>232</v>
      </c>
      <c r="E352" s="1" t="s">
        <v>233</v>
      </c>
      <c r="F352" s="1" t="s">
        <v>215</v>
      </c>
      <c r="G352" s="1" t="s">
        <v>216</v>
      </c>
      <c r="H352" s="1" t="s">
        <v>221</v>
      </c>
      <c r="I352" s="1">
        <v>3</v>
      </c>
      <c r="J352" s="1">
        <v>43355</v>
      </c>
      <c r="K352" s="1">
        <v>123561.75</v>
      </c>
      <c r="L352" s="1" t="s">
        <v>222</v>
      </c>
      <c r="M352" s="1">
        <v>5</v>
      </c>
      <c r="N352" s="1">
        <v>34698.1</v>
      </c>
    </row>
    <row r="353" spans="1:14" x14ac:dyDescent="0.25">
      <c r="A353" s="1">
        <v>1352</v>
      </c>
      <c r="B353" s="1" t="s">
        <v>342</v>
      </c>
      <c r="C353" s="1" t="s">
        <v>213</v>
      </c>
      <c r="D353" s="1" t="s">
        <v>220</v>
      </c>
      <c r="E353" s="1" t="s">
        <v>85</v>
      </c>
      <c r="F353" s="1" t="s">
        <v>215</v>
      </c>
      <c r="G353" s="1" t="s">
        <v>244</v>
      </c>
      <c r="H353" s="1" t="s">
        <v>234</v>
      </c>
      <c r="I353" s="1">
        <v>3</v>
      </c>
      <c r="J353" s="1">
        <v>44701</v>
      </c>
      <c r="K353" s="1">
        <v>127397.85</v>
      </c>
      <c r="L353" s="1" t="s">
        <v>222</v>
      </c>
      <c r="M353" s="1">
        <v>5</v>
      </c>
      <c r="N353" s="1">
        <v>12885.33</v>
      </c>
    </row>
    <row r="354" spans="1:14" x14ac:dyDescent="0.25">
      <c r="A354" s="1">
        <v>1353</v>
      </c>
      <c r="B354" s="1" t="s">
        <v>342</v>
      </c>
      <c r="C354" s="1" t="s">
        <v>219</v>
      </c>
      <c r="D354" s="1" t="s">
        <v>232</v>
      </c>
      <c r="E354" s="1" t="s">
        <v>233</v>
      </c>
      <c r="F354" s="1" t="s">
        <v>230</v>
      </c>
      <c r="G354" s="1" t="s">
        <v>242</v>
      </c>
      <c r="H354" s="1" t="s">
        <v>221</v>
      </c>
      <c r="I354" s="1">
        <v>5</v>
      </c>
      <c r="J354" s="1">
        <v>19793</v>
      </c>
      <c r="K354" s="1">
        <v>98965</v>
      </c>
      <c r="L354" s="1" t="s">
        <v>227</v>
      </c>
      <c r="M354" s="1">
        <v>0</v>
      </c>
      <c r="N354" s="1">
        <v>22080.65</v>
      </c>
    </row>
    <row r="355" spans="1:14" x14ac:dyDescent="0.25">
      <c r="A355" s="1">
        <v>1354</v>
      </c>
      <c r="B355" s="1" t="s">
        <v>342</v>
      </c>
      <c r="C355" s="1" t="s">
        <v>229</v>
      </c>
      <c r="D355" s="1" t="s">
        <v>232</v>
      </c>
      <c r="E355" s="1" t="s">
        <v>233</v>
      </c>
      <c r="F355" s="1" t="s">
        <v>225</v>
      </c>
      <c r="G355" s="1" t="s">
        <v>236</v>
      </c>
      <c r="H355" s="1" t="s">
        <v>221</v>
      </c>
      <c r="I355" s="1">
        <v>5</v>
      </c>
      <c r="J355" s="1">
        <v>17037</v>
      </c>
      <c r="K355" s="1">
        <v>85185</v>
      </c>
      <c r="L355" s="1" t="s">
        <v>227</v>
      </c>
      <c r="M355" s="1">
        <v>0</v>
      </c>
      <c r="N355" s="1">
        <v>10519.04</v>
      </c>
    </row>
    <row r="356" spans="1:14" x14ac:dyDescent="0.25">
      <c r="A356" s="1">
        <v>1355</v>
      </c>
      <c r="B356" s="1" t="s">
        <v>343</v>
      </c>
      <c r="C356" s="1" t="s">
        <v>219</v>
      </c>
      <c r="D356" s="1" t="s">
        <v>214</v>
      </c>
      <c r="E356" s="1" t="s">
        <v>124</v>
      </c>
      <c r="F356" s="1" t="s">
        <v>230</v>
      </c>
      <c r="G356" s="1" t="s">
        <v>231</v>
      </c>
      <c r="H356" s="1" t="s">
        <v>217</v>
      </c>
      <c r="I356" s="1">
        <v>2</v>
      </c>
      <c r="J356" s="1">
        <v>29622</v>
      </c>
      <c r="K356" s="1">
        <v>53319.6</v>
      </c>
      <c r="L356" s="1" t="s">
        <v>227</v>
      </c>
      <c r="M356" s="1">
        <v>10</v>
      </c>
      <c r="N356" s="1">
        <v>15120.2</v>
      </c>
    </row>
    <row r="357" spans="1:14" x14ac:dyDescent="0.25">
      <c r="A357" s="1">
        <v>1356</v>
      </c>
      <c r="B357" s="1" t="s">
        <v>343</v>
      </c>
      <c r="C357" s="1" t="s">
        <v>223</v>
      </c>
      <c r="D357" s="1" t="s">
        <v>220</v>
      </c>
      <c r="E357" s="1" t="s">
        <v>85</v>
      </c>
      <c r="F357" s="1" t="s">
        <v>225</v>
      </c>
      <c r="G357" s="1" t="s">
        <v>226</v>
      </c>
      <c r="H357" s="1" t="s">
        <v>128</v>
      </c>
      <c r="I357" s="1">
        <v>3</v>
      </c>
      <c r="J357" s="1">
        <v>19826</v>
      </c>
      <c r="K357" s="1">
        <v>53530.2</v>
      </c>
      <c r="L357" s="1" t="s">
        <v>240</v>
      </c>
      <c r="M357" s="1">
        <v>10</v>
      </c>
      <c r="N357" s="1">
        <v>9447.23</v>
      </c>
    </row>
    <row r="358" spans="1:14" x14ac:dyDescent="0.25">
      <c r="A358" s="1">
        <v>1357</v>
      </c>
      <c r="B358" s="1" t="s">
        <v>343</v>
      </c>
      <c r="C358" s="1" t="s">
        <v>229</v>
      </c>
      <c r="D358" s="1" t="s">
        <v>214</v>
      </c>
      <c r="E358" s="1" t="s">
        <v>124</v>
      </c>
      <c r="F358" s="1" t="s">
        <v>215</v>
      </c>
      <c r="G358" s="1" t="s">
        <v>246</v>
      </c>
      <c r="H358" s="1" t="s">
        <v>234</v>
      </c>
      <c r="I358" s="1">
        <v>5</v>
      </c>
      <c r="J358" s="1">
        <v>30566</v>
      </c>
      <c r="K358" s="1">
        <v>129905.5</v>
      </c>
      <c r="L358" s="1" t="s">
        <v>218</v>
      </c>
      <c r="M358" s="1">
        <v>15</v>
      </c>
      <c r="N358" s="1">
        <v>14955.23</v>
      </c>
    </row>
    <row r="359" spans="1:14" x14ac:dyDescent="0.25">
      <c r="A359" s="1">
        <v>1358</v>
      </c>
      <c r="B359" s="1" t="s">
        <v>343</v>
      </c>
      <c r="C359" s="1" t="s">
        <v>239</v>
      </c>
      <c r="D359" s="1" t="s">
        <v>232</v>
      </c>
      <c r="E359" s="1" t="s">
        <v>233</v>
      </c>
      <c r="F359" s="1" t="s">
        <v>230</v>
      </c>
      <c r="G359" s="1" t="s">
        <v>231</v>
      </c>
      <c r="H359" s="1" t="s">
        <v>234</v>
      </c>
      <c r="I359" s="1">
        <v>1</v>
      </c>
      <c r="J359" s="1">
        <v>12578</v>
      </c>
      <c r="K359" s="1">
        <v>10691.3</v>
      </c>
      <c r="L359" s="1" t="s">
        <v>227</v>
      </c>
      <c r="M359" s="1">
        <v>15</v>
      </c>
      <c r="N359" s="1">
        <v>2557.65</v>
      </c>
    </row>
    <row r="360" spans="1:14" x14ac:dyDescent="0.25">
      <c r="A360" s="1">
        <v>1359</v>
      </c>
      <c r="B360" s="1" t="s">
        <v>344</v>
      </c>
      <c r="C360" s="1" t="s">
        <v>223</v>
      </c>
      <c r="D360" s="1" t="s">
        <v>214</v>
      </c>
      <c r="E360" s="1" t="s">
        <v>124</v>
      </c>
      <c r="F360" s="1" t="s">
        <v>215</v>
      </c>
      <c r="G360" s="1" t="s">
        <v>246</v>
      </c>
      <c r="H360" s="1" t="s">
        <v>128</v>
      </c>
      <c r="I360" s="1">
        <v>3</v>
      </c>
      <c r="J360" s="1">
        <v>769</v>
      </c>
      <c r="K360" s="1">
        <v>2076.3000000000002</v>
      </c>
      <c r="L360" s="1" t="s">
        <v>222</v>
      </c>
      <c r="M360" s="1">
        <v>10</v>
      </c>
      <c r="N360" s="1">
        <v>591.17999999999995</v>
      </c>
    </row>
    <row r="361" spans="1:14" x14ac:dyDescent="0.25">
      <c r="A361" s="1">
        <v>1360</v>
      </c>
      <c r="B361" s="1" t="s">
        <v>344</v>
      </c>
      <c r="C361" s="1" t="s">
        <v>223</v>
      </c>
      <c r="D361" s="1" t="s">
        <v>220</v>
      </c>
      <c r="E361" s="1" t="s">
        <v>85</v>
      </c>
      <c r="F361" s="1" t="s">
        <v>215</v>
      </c>
      <c r="G361" s="1" t="s">
        <v>244</v>
      </c>
      <c r="H361" s="1" t="s">
        <v>234</v>
      </c>
      <c r="I361" s="1">
        <v>5</v>
      </c>
      <c r="J361" s="1">
        <v>40599</v>
      </c>
      <c r="K361" s="1">
        <v>192845.25</v>
      </c>
      <c r="L361" s="1" t="s">
        <v>240</v>
      </c>
      <c r="M361" s="1">
        <v>5</v>
      </c>
      <c r="N361" s="1">
        <v>28941.37</v>
      </c>
    </row>
    <row r="362" spans="1:14" x14ac:dyDescent="0.25">
      <c r="A362" s="1">
        <v>1361</v>
      </c>
      <c r="B362" s="1" t="s">
        <v>345</v>
      </c>
      <c r="C362" s="1" t="s">
        <v>239</v>
      </c>
      <c r="D362" s="1" t="s">
        <v>220</v>
      </c>
      <c r="E362" s="1" t="s">
        <v>85</v>
      </c>
      <c r="F362" s="1" t="s">
        <v>230</v>
      </c>
      <c r="G362" s="1" t="s">
        <v>242</v>
      </c>
      <c r="H362" s="1" t="s">
        <v>234</v>
      </c>
      <c r="I362" s="1">
        <v>5</v>
      </c>
      <c r="J362" s="1">
        <v>8421</v>
      </c>
      <c r="K362" s="1">
        <v>39999.75</v>
      </c>
      <c r="L362" s="1" t="s">
        <v>240</v>
      </c>
      <c r="M362" s="1">
        <v>5</v>
      </c>
      <c r="N362" s="1">
        <v>6646.27</v>
      </c>
    </row>
    <row r="363" spans="1:14" x14ac:dyDescent="0.25">
      <c r="A363" s="1">
        <v>1362</v>
      </c>
      <c r="B363" s="1" t="s">
        <v>345</v>
      </c>
      <c r="C363" s="1" t="s">
        <v>219</v>
      </c>
      <c r="D363" s="1" t="s">
        <v>224</v>
      </c>
      <c r="E363" s="1" t="s">
        <v>233</v>
      </c>
      <c r="F363" s="1" t="s">
        <v>225</v>
      </c>
      <c r="G363" s="1" t="s">
        <v>236</v>
      </c>
      <c r="H363" s="1" t="s">
        <v>221</v>
      </c>
      <c r="I363" s="1">
        <v>3</v>
      </c>
      <c r="J363" s="1">
        <v>36059</v>
      </c>
      <c r="K363" s="1">
        <v>102768.15</v>
      </c>
      <c r="L363" s="1" t="s">
        <v>240</v>
      </c>
      <c r="M363" s="1">
        <v>5</v>
      </c>
      <c r="N363" s="1">
        <v>29784.35</v>
      </c>
    </row>
    <row r="364" spans="1:14" x14ac:dyDescent="0.25">
      <c r="A364" s="1">
        <v>1363</v>
      </c>
      <c r="B364" s="1" t="s">
        <v>345</v>
      </c>
      <c r="C364" s="1" t="s">
        <v>229</v>
      </c>
      <c r="D364" s="1" t="s">
        <v>224</v>
      </c>
      <c r="E364" s="1" t="s">
        <v>233</v>
      </c>
      <c r="F364" s="1" t="s">
        <v>230</v>
      </c>
      <c r="G364" s="1" t="s">
        <v>231</v>
      </c>
      <c r="H364" s="1" t="s">
        <v>128</v>
      </c>
      <c r="I364" s="1">
        <v>1</v>
      </c>
      <c r="J364" s="1">
        <v>4966</v>
      </c>
      <c r="K364" s="1">
        <v>4221.1000000000004</v>
      </c>
      <c r="L364" s="1" t="s">
        <v>218</v>
      </c>
      <c r="M364" s="1">
        <v>15</v>
      </c>
      <c r="N364" s="1">
        <v>1078.08</v>
      </c>
    </row>
    <row r="365" spans="1:14" x14ac:dyDescent="0.25">
      <c r="A365" s="1">
        <v>1364</v>
      </c>
      <c r="B365" s="1" t="s">
        <v>346</v>
      </c>
      <c r="C365" s="1" t="s">
        <v>223</v>
      </c>
      <c r="D365" s="1" t="s">
        <v>214</v>
      </c>
      <c r="E365" s="1" t="s">
        <v>124</v>
      </c>
      <c r="F365" s="1" t="s">
        <v>225</v>
      </c>
      <c r="G365" s="1" t="s">
        <v>226</v>
      </c>
      <c r="H365" s="1" t="s">
        <v>217</v>
      </c>
      <c r="I365" s="1">
        <v>3</v>
      </c>
      <c r="J365" s="1">
        <v>5037</v>
      </c>
      <c r="K365" s="1">
        <v>13599.9</v>
      </c>
      <c r="L365" s="1" t="s">
        <v>218</v>
      </c>
      <c r="M365" s="1">
        <v>10</v>
      </c>
      <c r="N365" s="1">
        <v>2216.7600000000002</v>
      </c>
    </row>
    <row r="366" spans="1:14" x14ac:dyDescent="0.25">
      <c r="A366" s="1">
        <v>1365</v>
      </c>
      <c r="B366" s="1" t="s">
        <v>346</v>
      </c>
      <c r="C366" s="1" t="s">
        <v>229</v>
      </c>
      <c r="D366" s="1" t="s">
        <v>220</v>
      </c>
      <c r="E366" s="1" t="s">
        <v>85</v>
      </c>
      <c r="F366" s="1" t="s">
        <v>230</v>
      </c>
      <c r="G366" s="1" t="s">
        <v>242</v>
      </c>
      <c r="H366" s="1" t="s">
        <v>221</v>
      </c>
      <c r="I366" s="1">
        <v>3</v>
      </c>
      <c r="J366" s="1">
        <v>22460</v>
      </c>
      <c r="K366" s="1">
        <v>64011</v>
      </c>
      <c r="L366" s="1" t="s">
        <v>240</v>
      </c>
      <c r="M366" s="1">
        <v>5</v>
      </c>
      <c r="N366" s="1">
        <v>13258.68</v>
      </c>
    </row>
    <row r="367" spans="1:14" x14ac:dyDescent="0.25">
      <c r="A367" s="1">
        <v>1366</v>
      </c>
      <c r="B367" s="1" t="s">
        <v>346</v>
      </c>
      <c r="C367" s="1" t="s">
        <v>223</v>
      </c>
      <c r="D367" s="1" t="s">
        <v>220</v>
      </c>
      <c r="E367" s="1" t="s">
        <v>85</v>
      </c>
      <c r="F367" s="1" t="s">
        <v>225</v>
      </c>
      <c r="G367" s="1" t="s">
        <v>248</v>
      </c>
      <c r="H367" s="1" t="s">
        <v>234</v>
      </c>
      <c r="I367" s="1">
        <v>5</v>
      </c>
      <c r="J367" s="1">
        <v>38039</v>
      </c>
      <c r="K367" s="1">
        <v>190195</v>
      </c>
      <c r="L367" s="1" t="s">
        <v>240</v>
      </c>
      <c r="M367" s="1">
        <v>0</v>
      </c>
      <c r="N367" s="1">
        <v>33524.6</v>
      </c>
    </row>
    <row r="368" spans="1:14" x14ac:dyDescent="0.25">
      <c r="A368" s="1">
        <v>1367</v>
      </c>
      <c r="B368" s="1" t="s">
        <v>347</v>
      </c>
      <c r="C368" s="1" t="s">
        <v>229</v>
      </c>
      <c r="D368" s="1" t="s">
        <v>214</v>
      </c>
      <c r="E368" s="1" t="s">
        <v>124</v>
      </c>
      <c r="F368" s="1" t="s">
        <v>225</v>
      </c>
      <c r="G368" s="1" t="s">
        <v>248</v>
      </c>
      <c r="H368" s="1" t="s">
        <v>221</v>
      </c>
      <c r="I368" s="1">
        <v>3</v>
      </c>
      <c r="J368" s="1">
        <v>17317</v>
      </c>
      <c r="K368" s="1">
        <v>51951</v>
      </c>
      <c r="L368" s="1" t="s">
        <v>227</v>
      </c>
      <c r="M368" s="1">
        <v>0</v>
      </c>
      <c r="N368" s="1">
        <v>12594.92</v>
      </c>
    </row>
    <row r="369" spans="1:14" x14ac:dyDescent="0.25">
      <c r="A369" s="1">
        <v>1368</v>
      </c>
      <c r="B369" s="1" t="s">
        <v>347</v>
      </c>
      <c r="C369" s="1" t="s">
        <v>213</v>
      </c>
      <c r="D369" s="1" t="s">
        <v>224</v>
      </c>
      <c r="E369" s="1" t="s">
        <v>233</v>
      </c>
      <c r="F369" s="1" t="s">
        <v>230</v>
      </c>
      <c r="G369" s="1" t="s">
        <v>242</v>
      </c>
      <c r="H369" s="1" t="s">
        <v>217</v>
      </c>
      <c r="I369" s="1">
        <v>1</v>
      </c>
      <c r="J369" s="1">
        <v>42273</v>
      </c>
      <c r="K369" s="1">
        <v>35932.050000000003</v>
      </c>
      <c r="L369" s="1" t="s">
        <v>227</v>
      </c>
      <c r="M369" s="1">
        <v>15</v>
      </c>
      <c r="N369" s="1">
        <v>6789.95</v>
      </c>
    </row>
    <row r="370" spans="1:14" x14ac:dyDescent="0.25">
      <c r="A370" s="1">
        <v>1369</v>
      </c>
      <c r="B370" s="1" t="s">
        <v>347</v>
      </c>
      <c r="C370" s="1" t="s">
        <v>239</v>
      </c>
      <c r="D370" s="1" t="s">
        <v>214</v>
      </c>
      <c r="E370" s="1" t="s">
        <v>124</v>
      </c>
      <c r="F370" s="1" t="s">
        <v>225</v>
      </c>
      <c r="G370" s="1" t="s">
        <v>236</v>
      </c>
      <c r="H370" s="1" t="s">
        <v>217</v>
      </c>
      <c r="I370" s="1">
        <v>4</v>
      </c>
      <c r="J370" s="1">
        <v>8507</v>
      </c>
      <c r="K370" s="1">
        <v>30625.200000000001</v>
      </c>
      <c r="L370" s="1" t="s">
        <v>222</v>
      </c>
      <c r="M370" s="1">
        <v>10</v>
      </c>
      <c r="N370" s="1">
        <v>5555.16</v>
      </c>
    </row>
    <row r="371" spans="1:14" x14ac:dyDescent="0.25">
      <c r="A371" s="1">
        <v>1370</v>
      </c>
      <c r="B371" s="1" t="s">
        <v>347</v>
      </c>
      <c r="C371" s="1" t="s">
        <v>229</v>
      </c>
      <c r="D371" s="1" t="s">
        <v>214</v>
      </c>
      <c r="E371" s="1" t="s">
        <v>124</v>
      </c>
      <c r="F371" s="1" t="s">
        <v>215</v>
      </c>
      <c r="G371" s="1" t="s">
        <v>246</v>
      </c>
      <c r="H371" s="1" t="s">
        <v>234</v>
      </c>
      <c r="I371" s="1">
        <v>1</v>
      </c>
      <c r="J371" s="1">
        <v>21594</v>
      </c>
      <c r="K371" s="1">
        <v>19434.599999999999</v>
      </c>
      <c r="L371" s="1" t="s">
        <v>218</v>
      </c>
      <c r="M371" s="1">
        <v>10</v>
      </c>
      <c r="N371" s="1">
        <v>5475.8</v>
      </c>
    </row>
    <row r="372" spans="1:14" x14ac:dyDescent="0.25">
      <c r="A372" s="1">
        <v>1371</v>
      </c>
      <c r="B372" s="1" t="s">
        <v>348</v>
      </c>
      <c r="C372" s="1" t="s">
        <v>229</v>
      </c>
      <c r="D372" s="1" t="s">
        <v>232</v>
      </c>
      <c r="E372" s="1" t="s">
        <v>233</v>
      </c>
      <c r="F372" s="1" t="s">
        <v>215</v>
      </c>
      <c r="G372" s="1" t="s">
        <v>246</v>
      </c>
      <c r="H372" s="1" t="s">
        <v>234</v>
      </c>
      <c r="I372" s="1">
        <v>1</v>
      </c>
      <c r="J372" s="1">
        <v>35904</v>
      </c>
      <c r="K372" s="1">
        <v>32313.599999999999</v>
      </c>
      <c r="L372" s="1" t="s">
        <v>218</v>
      </c>
      <c r="M372" s="1">
        <v>10</v>
      </c>
      <c r="N372" s="1">
        <v>7970.71</v>
      </c>
    </row>
    <row r="373" spans="1:14" x14ac:dyDescent="0.25">
      <c r="A373" s="1">
        <v>1372</v>
      </c>
      <c r="B373" s="1" t="s">
        <v>348</v>
      </c>
      <c r="C373" s="1" t="s">
        <v>229</v>
      </c>
      <c r="D373" s="1" t="s">
        <v>245</v>
      </c>
      <c r="E373" s="1" t="s">
        <v>124</v>
      </c>
      <c r="F373" s="1" t="s">
        <v>225</v>
      </c>
      <c r="G373" s="1" t="s">
        <v>226</v>
      </c>
      <c r="H373" s="1" t="s">
        <v>217</v>
      </c>
      <c r="I373" s="1">
        <v>3</v>
      </c>
      <c r="J373" s="1">
        <v>24447</v>
      </c>
      <c r="K373" s="1">
        <v>62339.85</v>
      </c>
      <c r="L373" s="1" t="s">
        <v>218</v>
      </c>
      <c r="M373" s="1">
        <v>15</v>
      </c>
      <c r="N373" s="1">
        <v>16119.06</v>
      </c>
    </row>
    <row r="374" spans="1:14" x14ac:dyDescent="0.25">
      <c r="A374" s="1">
        <v>1373</v>
      </c>
      <c r="B374" s="1" t="s">
        <v>348</v>
      </c>
      <c r="C374" s="1" t="s">
        <v>223</v>
      </c>
      <c r="D374" s="1" t="s">
        <v>214</v>
      </c>
      <c r="E374" s="1" t="s">
        <v>124</v>
      </c>
      <c r="F374" s="1" t="s">
        <v>215</v>
      </c>
      <c r="G374" s="1" t="s">
        <v>216</v>
      </c>
      <c r="H374" s="1" t="s">
        <v>234</v>
      </c>
      <c r="I374" s="1">
        <v>3</v>
      </c>
      <c r="J374" s="1">
        <v>37907</v>
      </c>
      <c r="K374" s="1">
        <v>96662.85</v>
      </c>
      <c r="L374" s="1" t="s">
        <v>218</v>
      </c>
      <c r="M374" s="1">
        <v>15</v>
      </c>
      <c r="N374" s="1">
        <v>10200.77</v>
      </c>
    </row>
    <row r="375" spans="1:14" x14ac:dyDescent="0.25">
      <c r="A375" s="1">
        <v>1374</v>
      </c>
      <c r="B375" s="1" t="s">
        <v>348</v>
      </c>
      <c r="C375" s="1" t="s">
        <v>223</v>
      </c>
      <c r="D375" s="1" t="s">
        <v>220</v>
      </c>
      <c r="E375" s="1" t="s">
        <v>85</v>
      </c>
      <c r="F375" s="1" t="s">
        <v>230</v>
      </c>
      <c r="G375" s="1" t="s">
        <v>241</v>
      </c>
      <c r="H375" s="1" t="s">
        <v>234</v>
      </c>
      <c r="I375" s="1">
        <v>4</v>
      </c>
      <c r="J375" s="1">
        <v>28131</v>
      </c>
      <c r="K375" s="1">
        <v>101271.6</v>
      </c>
      <c r="L375" s="1" t="s">
        <v>222</v>
      </c>
      <c r="M375" s="1">
        <v>10</v>
      </c>
      <c r="N375" s="1">
        <v>28970.04</v>
      </c>
    </row>
    <row r="376" spans="1:14" x14ac:dyDescent="0.25">
      <c r="A376" s="1">
        <v>1375</v>
      </c>
      <c r="B376" s="1" t="s">
        <v>348</v>
      </c>
      <c r="C376" s="1" t="s">
        <v>229</v>
      </c>
      <c r="D376" s="1" t="s">
        <v>220</v>
      </c>
      <c r="E376" s="1" t="s">
        <v>85</v>
      </c>
      <c r="F376" s="1" t="s">
        <v>215</v>
      </c>
      <c r="G376" s="1" t="s">
        <v>244</v>
      </c>
      <c r="H376" s="1" t="s">
        <v>234</v>
      </c>
      <c r="I376" s="1">
        <v>4</v>
      </c>
      <c r="J376" s="1">
        <v>25095</v>
      </c>
      <c r="K376" s="1">
        <v>100380</v>
      </c>
      <c r="L376" s="1" t="s">
        <v>227</v>
      </c>
      <c r="M376" s="1">
        <v>0</v>
      </c>
      <c r="N376" s="1">
        <v>26137.74</v>
      </c>
    </row>
    <row r="377" spans="1:14" x14ac:dyDescent="0.25">
      <c r="A377" s="1">
        <v>1376</v>
      </c>
      <c r="B377" s="1" t="s">
        <v>349</v>
      </c>
      <c r="C377" s="1" t="s">
        <v>239</v>
      </c>
      <c r="D377" s="1" t="s">
        <v>224</v>
      </c>
      <c r="E377" s="1" t="s">
        <v>233</v>
      </c>
      <c r="F377" s="1" t="s">
        <v>225</v>
      </c>
      <c r="G377" s="1" t="s">
        <v>226</v>
      </c>
      <c r="H377" s="1" t="s">
        <v>217</v>
      </c>
      <c r="I377" s="1">
        <v>2</v>
      </c>
      <c r="J377" s="1">
        <v>4112</v>
      </c>
      <c r="K377" s="1">
        <v>7401.6</v>
      </c>
      <c r="L377" s="1" t="s">
        <v>240</v>
      </c>
      <c r="M377" s="1">
        <v>10</v>
      </c>
      <c r="N377" s="1">
        <v>2131.98</v>
      </c>
    </row>
    <row r="378" spans="1:14" x14ac:dyDescent="0.25">
      <c r="A378" s="1">
        <v>1377</v>
      </c>
      <c r="B378" s="1" t="s">
        <v>349</v>
      </c>
      <c r="C378" s="1" t="s">
        <v>213</v>
      </c>
      <c r="D378" s="1" t="s">
        <v>214</v>
      </c>
      <c r="E378" s="1" t="s">
        <v>124</v>
      </c>
      <c r="F378" s="1" t="s">
        <v>230</v>
      </c>
      <c r="G378" s="1" t="s">
        <v>241</v>
      </c>
      <c r="H378" s="1" t="s">
        <v>217</v>
      </c>
      <c r="I378" s="1">
        <v>5</v>
      </c>
      <c r="J378" s="1">
        <v>19572</v>
      </c>
      <c r="K378" s="1">
        <v>83181</v>
      </c>
      <c r="L378" s="1" t="s">
        <v>240</v>
      </c>
      <c r="M378" s="1">
        <v>15</v>
      </c>
      <c r="N378" s="1">
        <v>20989.82</v>
      </c>
    </row>
    <row r="379" spans="1:14" x14ac:dyDescent="0.25">
      <c r="A379" s="1">
        <v>1378</v>
      </c>
      <c r="B379" s="1" t="s">
        <v>349</v>
      </c>
      <c r="C379" s="1" t="s">
        <v>229</v>
      </c>
      <c r="D379" s="1" t="s">
        <v>232</v>
      </c>
      <c r="E379" s="1" t="s">
        <v>233</v>
      </c>
      <c r="F379" s="1" t="s">
        <v>225</v>
      </c>
      <c r="G379" s="1" t="s">
        <v>236</v>
      </c>
      <c r="H379" s="1" t="s">
        <v>128</v>
      </c>
      <c r="I379" s="1">
        <v>4</v>
      </c>
      <c r="J379" s="1">
        <v>4711</v>
      </c>
      <c r="K379" s="1">
        <v>16959.599999999999</v>
      </c>
      <c r="L379" s="1" t="s">
        <v>218</v>
      </c>
      <c r="M379" s="1">
        <v>10</v>
      </c>
      <c r="N379" s="1">
        <v>4259.93</v>
      </c>
    </row>
    <row r="380" spans="1:14" x14ac:dyDescent="0.25">
      <c r="A380" s="1">
        <v>1379</v>
      </c>
      <c r="B380" s="1" t="s">
        <v>349</v>
      </c>
      <c r="C380" s="1" t="s">
        <v>219</v>
      </c>
      <c r="D380" s="1" t="s">
        <v>224</v>
      </c>
      <c r="E380" s="1" t="s">
        <v>233</v>
      </c>
      <c r="F380" s="1" t="s">
        <v>215</v>
      </c>
      <c r="G380" s="1" t="s">
        <v>244</v>
      </c>
      <c r="H380" s="1" t="s">
        <v>234</v>
      </c>
      <c r="I380" s="1">
        <v>2</v>
      </c>
      <c r="J380" s="1">
        <v>44585</v>
      </c>
      <c r="K380" s="1">
        <v>75794.5</v>
      </c>
      <c r="L380" s="1" t="s">
        <v>222</v>
      </c>
      <c r="M380" s="1">
        <v>15</v>
      </c>
      <c r="N380" s="1">
        <v>16250.24</v>
      </c>
    </row>
    <row r="381" spans="1:14" x14ac:dyDescent="0.25">
      <c r="A381" s="1">
        <v>1380</v>
      </c>
      <c r="B381" s="1" t="s">
        <v>350</v>
      </c>
      <c r="C381" s="1" t="s">
        <v>223</v>
      </c>
      <c r="D381" s="1" t="s">
        <v>224</v>
      </c>
      <c r="E381" s="1" t="s">
        <v>233</v>
      </c>
      <c r="F381" s="1" t="s">
        <v>230</v>
      </c>
      <c r="G381" s="1" t="s">
        <v>241</v>
      </c>
      <c r="H381" s="1" t="s">
        <v>234</v>
      </c>
      <c r="I381" s="1">
        <v>1</v>
      </c>
      <c r="J381" s="1">
        <v>19014</v>
      </c>
      <c r="K381" s="1">
        <v>16161.9</v>
      </c>
      <c r="L381" s="1" t="s">
        <v>222</v>
      </c>
      <c r="M381" s="1">
        <v>15</v>
      </c>
      <c r="N381" s="1">
        <v>4385.5200000000004</v>
      </c>
    </row>
    <row r="382" spans="1:14" x14ac:dyDescent="0.25">
      <c r="A382" s="1">
        <v>1381</v>
      </c>
      <c r="B382" s="1" t="s">
        <v>350</v>
      </c>
      <c r="C382" s="1" t="s">
        <v>229</v>
      </c>
      <c r="D382" s="1" t="s">
        <v>232</v>
      </c>
      <c r="E382" s="1" t="s">
        <v>233</v>
      </c>
      <c r="F382" s="1" t="s">
        <v>215</v>
      </c>
      <c r="G382" s="1" t="s">
        <v>216</v>
      </c>
      <c r="H382" s="1" t="s">
        <v>221</v>
      </c>
      <c r="I382" s="1">
        <v>3</v>
      </c>
      <c r="J382" s="1">
        <v>8444</v>
      </c>
      <c r="K382" s="1">
        <v>24065.4</v>
      </c>
      <c r="L382" s="1" t="s">
        <v>227</v>
      </c>
      <c r="M382" s="1">
        <v>5</v>
      </c>
      <c r="N382" s="1">
        <v>6699.21</v>
      </c>
    </row>
    <row r="383" spans="1:14" x14ac:dyDescent="0.25">
      <c r="A383" s="1">
        <v>1382</v>
      </c>
      <c r="B383" s="1" t="s">
        <v>351</v>
      </c>
      <c r="C383" s="1" t="s">
        <v>219</v>
      </c>
      <c r="D383" s="1" t="s">
        <v>245</v>
      </c>
      <c r="E383" s="1" t="s">
        <v>124</v>
      </c>
      <c r="F383" s="1" t="s">
        <v>230</v>
      </c>
      <c r="G383" s="1" t="s">
        <v>241</v>
      </c>
      <c r="H383" s="1" t="s">
        <v>128</v>
      </c>
      <c r="I383" s="1">
        <v>4</v>
      </c>
      <c r="J383" s="1">
        <v>46340</v>
      </c>
      <c r="K383" s="1">
        <v>166824</v>
      </c>
      <c r="L383" s="1" t="s">
        <v>227</v>
      </c>
      <c r="M383" s="1">
        <v>10</v>
      </c>
      <c r="N383" s="1">
        <v>19172.21</v>
      </c>
    </row>
    <row r="384" spans="1:14" x14ac:dyDescent="0.25">
      <c r="A384" s="1">
        <v>1383</v>
      </c>
      <c r="B384" s="1" t="s">
        <v>351</v>
      </c>
      <c r="C384" s="1" t="s">
        <v>223</v>
      </c>
      <c r="D384" s="1" t="s">
        <v>245</v>
      </c>
      <c r="E384" s="1" t="s">
        <v>124</v>
      </c>
      <c r="F384" s="1" t="s">
        <v>215</v>
      </c>
      <c r="G384" s="1" t="s">
        <v>244</v>
      </c>
      <c r="H384" s="1" t="s">
        <v>221</v>
      </c>
      <c r="I384" s="1">
        <v>3</v>
      </c>
      <c r="J384" s="1">
        <v>31907</v>
      </c>
      <c r="K384" s="1">
        <v>90934.95</v>
      </c>
      <c r="L384" s="1" t="s">
        <v>240</v>
      </c>
      <c r="M384" s="1">
        <v>5</v>
      </c>
      <c r="N384" s="1">
        <v>21611.64</v>
      </c>
    </row>
    <row r="385" spans="1:14" x14ac:dyDescent="0.25">
      <c r="A385" s="1">
        <v>1384</v>
      </c>
      <c r="B385" s="1" t="s">
        <v>351</v>
      </c>
      <c r="C385" s="1" t="s">
        <v>229</v>
      </c>
      <c r="D385" s="1" t="s">
        <v>245</v>
      </c>
      <c r="E385" s="1" t="s">
        <v>124</v>
      </c>
      <c r="F385" s="1" t="s">
        <v>215</v>
      </c>
      <c r="G385" s="1" t="s">
        <v>216</v>
      </c>
      <c r="H385" s="1" t="s">
        <v>234</v>
      </c>
      <c r="I385" s="1">
        <v>3</v>
      </c>
      <c r="J385" s="1">
        <v>33118</v>
      </c>
      <c r="K385" s="1">
        <v>84450.9</v>
      </c>
      <c r="L385" s="1" t="s">
        <v>222</v>
      </c>
      <c r="M385" s="1">
        <v>15</v>
      </c>
      <c r="N385" s="1">
        <v>20621.36</v>
      </c>
    </row>
    <row r="386" spans="1:14" x14ac:dyDescent="0.25">
      <c r="A386" s="1">
        <v>1385</v>
      </c>
      <c r="B386" s="1" t="s">
        <v>352</v>
      </c>
      <c r="C386" s="1" t="s">
        <v>229</v>
      </c>
      <c r="D386" s="1" t="s">
        <v>232</v>
      </c>
      <c r="E386" s="1" t="s">
        <v>233</v>
      </c>
      <c r="F386" s="1" t="s">
        <v>230</v>
      </c>
      <c r="G386" s="1" t="s">
        <v>241</v>
      </c>
      <c r="H386" s="1" t="s">
        <v>221</v>
      </c>
      <c r="I386" s="1">
        <v>2</v>
      </c>
      <c r="J386" s="1">
        <v>29703</v>
      </c>
      <c r="K386" s="1">
        <v>59406</v>
      </c>
      <c r="L386" s="1" t="s">
        <v>227</v>
      </c>
      <c r="M386" s="1">
        <v>0</v>
      </c>
      <c r="N386" s="1">
        <v>15176.11</v>
      </c>
    </row>
    <row r="387" spans="1:14" x14ac:dyDescent="0.25">
      <c r="A387" s="1">
        <v>1386</v>
      </c>
      <c r="B387" s="1" t="s">
        <v>352</v>
      </c>
      <c r="C387" s="1" t="s">
        <v>219</v>
      </c>
      <c r="D387" s="1" t="s">
        <v>214</v>
      </c>
      <c r="E387" s="1" t="s">
        <v>124</v>
      </c>
      <c r="F387" s="1" t="s">
        <v>230</v>
      </c>
      <c r="G387" s="1" t="s">
        <v>231</v>
      </c>
      <c r="H387" s="1" t="s">
        <v>234</v>
      </c>
      <c r="I387" s="1">
        <v>2</v>
      </c>
      <c r="J387" s="1">
        <v>540</v>
      </c>
      <c r="K387" s="1">
        <v>1026</v>
      </c>
      <c r="L387" s="1" t="s">
        <v>222</v>
      </c>
      <c r="M387" s="1">
        <v>5</v>
      </c>
      <c r="N387" s="1">
        <v>131.38</v>
      </c>
    </row>
    <row r="388" spans="1:14" x14ac:dyDescent="0.25">
      <c r="A388" s="1">
        <v>1387</v>
      </c>
      <c r="B388" s="1" t="s">
        <v>352</v>
      </c>
      <c r="C388" s="1" t="s">
        <v>219</v>
      </c>
      <c r="D388" s="1" t="s">
        <v>245</v>
      </c>
      <c r="E388" s="1" t="s">
        <v>124</v>
      </c>
      <c r="F388" s="1" t="s">
        <v>230</v>
      </c>
      <c r="G388" s="1" t="s">
        <v>242</v>
      </c>
      <c r="H388" s="1" t="s">
        <v>234</v>
      </c>
      <c r="I388" s="1">
        <v>5</v>
      </c>
      <c r="J388" s="1">
        <v>12021</v>
      </c>
      <c r="K388" s="1">
        <v>54094.5</v>
      </c>
      <c r="L388" s="1" t="s">
        <v>222</v>
      </c>
      <c r="M388" s="1">
        <v>10</v>
      </c>
      <c r="N388" s="1">
        <v>8422.99</v>
      </c>
    </row>
    <row r="389" spans="1:14" x14ac:dyDescent="0.25">
      <c r="A389" s="1">
        <v>1388</v>
      </c>
      <c r="B389" s="1" t="s">
        <v>352</v>
      </c>
      <c r="C389" s="1" t="s">
        <v>223</v>
      </c>
      <c r="D389" s="1" t="s">
        <v>232</v>
      </c>
      <c r="E389" s="1" t="s">
        <v>233</v>
      </c>
      <c r="F389" s="1" t="s">
        <v>225</v>
      </c>
      <c r="G389" s="1" t="s">
        <v>248</v>
      </c>
      <c r="H389" s="1" t="s">
        <v>217</v>
      </c>
      <c r="I389" s="1">
        <v>1</v>
      </c>
      <c r="J389" s="1">
        <v>48312</v>
      </c>
      <c r="K389" s="1">
        <v>45896.4</v>
      </c>
      <c r="L389" s="1" t="s">
        <v>222</v>
      </c>
      <c r="M389" s="1">
        <v>5</v>
      </c>
      <c r="N389" s="1">
        <v>8995.7099999999991</v>
      </c>
    </row>
    <row r="390" spans="1:14" x14ac:dyDescent="0.25">
      <c r="A390" s="1">
        <v>1389</v>
      </c>
      <c r="B390" s="1" t="s">
        <v>353</v>
      </c>
      <c r="C390" s="1" t="s">
        <v>223</v>
      </c>
      <c r="D390" s="1" t="s">
        <v>214</v>
      </c>
      <c r="E390" s="1" t="s">
        <v>124</v>
      </c>
      <c r="F390" s="1" t="s">
        <v>215</v>
      </c>
      <c r="G390" s="1" t="s">
        <v>246</v>
      </c>
      <c r="H390" s="1" t="s">
        <v>217</v>
      </c>
      <c r="I390" s="1">
        <v>3</v>
      </c>
      <c r="J390" s="1">
        <v>4661</v>
      </c>
      <c r="K390" s="1">
        <v>13983</v>
      </c>
      <c r="L390" s="1" t="s">
        <v>222</v>
      </c>
      <c r="M390" s="1">
        <v>0</v>
      </c>
      <c r="N390" s="1">
        <v>1562.21</v>
      </c>
    </row>
    <row r="391" spans="1:14" x14ac:dyDescent="0.25">
      <c r="A391" s="1">
        <v>1390</v>
      </c>
      <c r="B391" s="1" t="s">
        <v>353</v>
      </c>
      <c r="C391" s="1" t="s">
        <v>229</v>
      </c>
      <c r="D391" s="1" t="s">
        <v>232</v>
      </c>
      <c r="E391" s="1" t="s">
        <v>233</v>
      </c>
      <c r="F391" s="1" t="s">
        <v>230</v>
      </c>
      <c r="G391" s="1" t="s">
        <v>241</v>
      </c>
      <c r="H391" s="1" t="s">
        <v>217</v>
      </c>
      <c r="I391" s="1">
        <v>3</v>
      </c>
      <c r="J391" s="1">
        <v>16242</v>
      </c>
      <c r="K391" s="1">
        <v>46289.7</v>
      </c>
      <c r="L391" s="1" t="s">
        <v>240</v>
      </c>
      <c r="M391" s="1">
        <v>5</v>
      </c>
      <c r="N391" s="1">
        <v>5402.58</v>
      </c>
    </row>
    <row r="392" spans="1:14" x14ac:dyDescent="0.25">
      <c r="A392" s="1">
        <v>1391</v>
      </c>
      <c r="B392" s="1" t="s">
        <v>353</v>
      </c>
      <c r="C392" s="1" t="s">
        <v>223</v>
      </c>
      <c r="D392" s="1" t="s">
        <v>224</v>
      </c>
      <c r="E392" s="1" t="s">
        <v>233</v>
      </c>
      <c r="F392" s="1" t="s">
        <v>230</v>
      </c>
      <c r="G392" s="1" t="s">
        <v>231</v>
      </c>
      <c r="H392" s="1" t="s">
        <v>128</v>
      </c>
      <c r="I392" s="1">
        <v>4</v>
      </c>
      <c r="J392" s="1">
        <v>27974</v>
      </c>
      <c r="K392" s="1">
        <v>111896</v>
      </c>
      <c r="L392" s="1" t="s">
        <v>222</v>
      </c>
      <c r="M392" s="1">
        <v>0</v>
      </c>
      <c r="N392" s="1">
        <v>29982.06</v>
      </c>
    </row>
    <row r="393" spans="1:14" x14ac:dyDescent="0.25">
      <c r="A393" s="1">
        <v>1392</v>
      </c>
      <c r="B393" s="1" t="s">
        <v>353</v>
      </c>
      <c r="C393" s="1" t="s">
        <v>223</v>
      </c>
      <c r="D393" s="1" t="s">
        <v>220</v>
      </c>
      <c r="E393" s="1" t="s">
        <v>85</v>
      </c>
      <c r="F393" s="1" t="s">
        <v>225</v>
      </c>
      <c r="G393" s="1" t="s">
        <v>236</v>
      </c>
      <c r="H393" s="1" t="s">
        <v>234</v>
      </c>
      <c r="I393" s="1">
        <v>5</v>
      </c>
      <c r="J393" s="1">
        <v>32585</v>
      </c>
      <c r="K393" s="1">
        <v>154778.75</v>
      </c>
      <c r="L393" s="1" t="s">
        <v>222</v>
      </c>
      <c r="M393" s="1">
        <v>5</v>
      </c>
      <c r="N393" s="1">
        <v>46179.839999999997</v>
      </c>
    </row>
    <row r="394" spans="1:14" x14ac:dyDescent="0.25">
      <c r="A394" s="1">
        <v>1393</v>
      </c>
      <c r="B394" s="1" t="s">
        <v>354</v>
      </c>
      <c r="C394" s="1" t="s">
        <v>219</v>
      </c>
      <c r="D394" s="1" t="s">
        <v>245</v>
      </c>
      <c r="E394" s="1" t="s">
        <v>124</v>
      </c>
      <c r="F394" s="1" t="s">
        <v>215</v>
      </c>
      <c r="G394" s="1" t="s">
        <v>246</v>
      </c>
      <c r="H394" s="1" t="s">
        <v>234</v>
      </c>
      <c r="I394" s="1">
        <v>3</v>
      </c>
      <c r="J394" s="1">
        <v>14825</v>
      </c>
      <c r="K394" s="1">
        <v>42251.25</v>
      </c>
      <c r="L394" s="1" t="s">
        <v>227</v>
      </c>
      <c r="M394" s="1">
        <v>5</v>
      </c>
      <c r="N394" s="1">
        <v>10902.5</v>
      </c>
    </row>
    <row r="395" spans="1:14" x14ac:dyDescent="0.25">
      <c r="A395" s="1">
        <v>1394</v>
      </c>
      <c r="B395" s="1" t="s">
        <v>354</v>
      </c>
      <c r="C395" s="1" t="s">
        <v>229</v>
      </c>
      <c r="D395" s="1" t="s">
        <v>220</v>
      </c>
      <c r="E395" s="1" t="s">
        <v>85</v>
      </c>
      <c r="F395" s="1" t="s">
        <v>230</v>
      </c>
      <c r="G395" s="1" t="s">
        <v>242</v>
      </c>
      <c r="H395" s="1" t="s">
        <v>217</v>
      </c>
      <c r="I395" s="1">
        <v>4</v>
      </c>
      <c r="J395" s="1">
        <v>7730</v>
      </c>
      <c r="K395" s="1">
        <v>30920</v>
      </c>
      <c r="L395" s="1" t="s">
        <v>218</v>
      </c>
      <c r="M395" s="1">
        <v>0</v>
      </c>
      <c r="N395" s="1">
        <v>8050.68</v>
      </c>
    </row>
    <row r="396" spans="1:14" x14ac:dyDescent="0.25">
      <c r="A396" s="1">
        <v>1395</v>
      </c>
      <c r="B396" s="1" t="s">
        <v>354</v>
      </c>
      <c r="C396" s="1" t="s">
        <v>239</v>
      </c>
      <c r="D396" s="1" t="s">
        <v>232</v>
      </c>
      <c r="E396" s="1" t="s">
        <v>233</v>
      </c>
      <c r="F396" s="1" t="s">
        <v>225</v>
      </c>
      <c r="G396" s="1" t="s">
        <v>248</v>
      </c>
      <c r="H396" s="1" t="s">
        <v>221</v>
      </c>
      <c r="I396" s="1">
        <v>4</v>
      </c>
      <c r="J396" s="1">
        <v>15851</v>
      </c>
      <c r="K396" s="1">
        <v>63404</v>
      </c>
      <c r="L396" s="1" t="s">
        <v>227</v>
      </c>
      <c r="M396" s="1">
        <v>0</v>
      </c>
      <c r="N396" s="1">
        <v>14572.95</v>
      </c>
    </row>
    <row r="397" spans="1:14" x14ac:dyDescent="0.25">
      <c r="A397" s="1">
        <v>1396</v>
      </c>
      <c r="B397" s="1" t="s">
        <v>354</v>
      </c>
      <c r="C397" s="1" t="s">
        <v>223</v>
      </c>
      <c r="D397" s="1" t="s">
        <v>224</v>
      </c>
      <c r="E397" s="1" t="s">
        <v>233</v>
      </c>
      <c r="F397" s="1" t="s">
        <v>225</v>
      </c>
      <c r="G397" s="1" t="s">
        <v>248</v>
      </c>
      <c r="H397" s="1" t="s">
        <v>234</v>
      </c>
      <c r="I397" s="1">
        <v>5</v>
      </c>
      <c r="J397" s="1">
        <v>36735</v>
      </c>
      <c r="K397" s="1">
        <v>165307.5</v>
      </c>
      <c r="L397" s="1" t="s">
        <v>222</v>
      </c>
      <c r="M397" s="1">
        <v>10</v>
      </c>
      <c r="N397" s="1">
        <v>26879.84</v>
      </c>
    </row>
    <row r="398" spans="1:14" x14ac:dyDescent="0.25">
      <c r="A398" s="1">
        <v>1397</v>
      </c>
      <c r="B398" s="1" t="s">
        <v>354</v>
      </c>
      <c r="C398" s="1" t="s">
        <v>239</v>
      </c>
      <c r="D398" s="1" t="s">
        <v>220</v>
      </c>
      <c r="E398" s="1" t="s">
        <v>85</v>
      </c>
      <c r="F398" s="1" t="s">
        <v>230</v>
      </c>
      <c r="G398" s="1" t="s">
        <v>242</v>
      </c>
      <c r="H398" s="1" t="s">
        <v>234</v>
      </c>
      <c r="I398" s="1">
        <v>2</v>
      </c>
      <c r="J398" s="1">
        <v>27011</v>
      </c>
      <c r="K398" s="1">
        <v>48619.8</v>
      </c>
      <c r="L398" s="1" t="s">
        <v>222</v>
      </c>
      <c r="M398" s="1">
        <v>10</v>
      </c>
      <c r="N398" s="1">
        <v>11462.68</v>
      </c>
    </row>
    <row r="399" spans="1:14" x14ac:dyDescent="0.25">
      <c r="A399" s="1">
        <v>1398</v>
      </c>
      <c r="B399" s="1" t="s">
        <v>355</v>
      </c>
      <c r="C399" s="1" t="s">
        <v>229</v>
      </c>
      <c r="D399" s="1" t="s">
        <v>214</v>
      </c>
      <c r="E399" s="1" t="s">
        <v>124</v>
      </c>
      <c r="F399" s="1" t="s">
        <v>225</v>
      </c>
      <c r="G399" s="1" t="s">
        <v>248</v>
      </c>
      <c r="H399" s="1" t="s">
        <v>128</v>
      </c>
      <c r="I399" s="1">
        <v>1</v>
      </c>
      <c r="J399" s="1">
        <v>15836</v>
      </c>
      <c r="K399" s="1">
        <v>15044.2</v>
      </c>
      <c r="L399" s="1" t="s">
        <v>222</v>
      </c>
      <c r="M399" s="1">
        <v>5</v>
      </c>
      <c r="N399" s="1">
        <v>2800.18</v>
      </c>
    </row>
    <row r="400" spans="1:14" x14ac:dyDescent="0.25">
      <c r="A400" s="1">
        <v>1399</v>
      </c>
      <c r="B400" s="1" t="s">
        <v>355</v>
      </c>
      <c r="C400" s="1" t="s">
        <v>223</v>
      </c>
      <c r="D400" s="1" t="s">
        <v>245</v>
      </c>
      <c r="E400" s="1" t="s">
        <v>124</v>
      </c>
      <c r="F400" s="1" t="s">
        <v>215</v>
      </c>
      <c r="G400" s="1" t="s">
        <v>246</v>
      </c>
      <c r="H400" s="1" t="s">
        <v>217</v>
      </c>
      <c r="I400" s="1">
        <v>3</v>
      </c>
      <c r="J400" s="1">
        <v>39834</v>
      </c>
      <c r="K400" s="1">
        <v>107551.8</v>
      </c>
      <c r="L400" s="1" t="s">
        <v>222</v>
      </c>
      <c r="M400" s="1">
        <v>10</v>
      </c>
      <c r="N400" s="1">
        <v>26993.19</v>
      </c>
    </row>
    <row r="401" spans="1:14" x14ac:dyDescent="0.25">
      <c r="A401" s="1">
        <v>1400</v>
      </c>
      <c r="B401" s="1" t="s">
        <v>356</v>
      </c>
      <c r="C401" s="1" t="s">
        <v>219</v>
      </c>
      <c r="D401" s="1" t="s">
        <v>220</v>
      </c>
      <c r="E401" s="1" t="s">
        <v>85</v>
      </c>
      <c r="F401" s="1" t="s">
        <v>215</v>
      </c>
      <c r="G401" s="1" t="s">
        <v>246</v>
      </c>
      <c r="H401" s="1" t="s">
        <v>128</v>
      </c>
      <c r="I401" s="1">
        <v>2</v>
      </c>
      <c r="J401" s="1">
        <v>6279</v>
      </c>
      <c r="K401" s="1">
        <v>11302.2</v>
      </c>
      <c r="L401" s="1" t="s">
        <v>218</v>
      </c>
      <c r="M401" s="1">
        <v>10</v>
      </c>
      <c r="N401" s="1">
        <v>3008.39</v>
      </c>
    </row>
    <row r="402" spans="1:14" x14ac:dyDescent="0.25">
      <c r="A402" s="1">
        <v>1401</v>
      </c>
      <c r="B402" s="1" t="s">
        <v>356</v>
      </c>
      <c r="C402" s="1" t="s">
        <v>239</v>
      </c>
      <c r="D402" s="1" t="s">
        <v>245</v>
      </c>
      <c r="E402" s="1" t="s">
        <v>124</v>
      </c>
      <c r="F402" s="1" t="s">
        <v>225</v>
      </c>
      <c r="G402" s="1" t="s">
        <v>236</v>
      </c>
      <c r="H402" s="1" t="s">
        <v>234</v>
      </c>
      <c r="I402" s="1">
        <v>1</v>
      </c>
      <c r="J402" s="1">
        <v>30293</v>
      </c>
      <c r="K402" s="1">
        <v>27263.7</v>
      </c>
      <c r="L402" s="1" t="s">
        <v>227</v>
      </c>
      <c r="M402" s="1">
        <v>10</v>
      </c>
      <c r="N402" s="1">
        <v>5332.6</v>
      </c>
    </row>
    <row r="403" spans="1:14" x14ac:dyDescent="0.25">
      <c r="A403" s="1">
        <v>1402</v>
      </c>
      <c r="B403" s="1" t="s">
        <v>356</v>
      </c>
      <c r="C403" s="1" t="s">
        <v>239</v>
      </c>
      <c r="D403" s="1" t="s">
        <v>224</v>
      </c>
      <c r="E403" s="1" t="s">
        <v>233</v>
      </c>
      <c r="F403" s="1" t="s">
        <v>225</v>
      </c>
      <c r="G403" s="1" t="s">
        <v>236</v>
      </c>
      <c r="H403" s="1" t="s">
        <v>128</v>
      </c>
      <c r="I403" s="1">
        <v>1</v>
      </c>
      <c r="J403" s="1">
        <v>48937</v>
      </c>
      <c r="K403" s="1">
        <v>48937</v>
      </c>
      <c r="L403" s="1" t="s">
        <v>240</v>
      </c>
      <c r="M403" s="1">
        <v>0</v>
      </c>
      <c r="N403" s="1">
        <v>11601.6</v>
      </c>
    </row>
    <row r="404" spans="1:14" x14ac:dyDescent="0.25">
      <c r="A404" s="1">
        <v>1403</v>
      </c>
      <c r="B404" s="1" t="s">
        <v>357</v>
      </c>
      <c r="C404" s="1" t="s">
        <v>213</v>
      </c>
      <c r="D404" s="1" t="s">
        <v>224</v>
      </c>
      <c r="E404" s="1" t="s">
        <v>233</v>
      </c>
      <c r="F404" s="1" t="s">
        <v>215</v>
      </c>
      <c r="G404" s="1" t="s">
        <v>246</v>
      </c>
      <c r="H404" s="1" t="s">
        <v>217</v>
      </c>
      <c r="I404" s="1">
        <v>4</v>
      </c>
      <c r="J404" s="1">
        <v>37022</v>
      </c>
      <c r="K404" s="1">
        <v>125874.8</v>
      </c>
      <c r="L404" s="1" t="s">
        <v>222</v>
      </c>
      <c r="M404" s="1">
        <v>15</v>
      </c>
      <c r="N404" s="1">
        <v>30876.25</v>
      </c>
    </row>
    <row r="405" spans="1:14" x14ac:dyDescent="0.25">
      <c r="A405" s="1">
        <v>1404</v>
      </c>
      <c r="B405" s="1" t="s">
        <v>357</v>
      </c>
      <c r="C405" s="1" t="s">
        <v>229</v>
      </c>
      <c r="D405" s="1" t="s">
        <v>232</v>
      </c>
      <c r="E405" s="1" t="s">
        <v>233</v>
      </c>
      <c r="F405" s="1" t="s">
        <v>230</v>
      </c>
      <c r="G405" s="1" t="s">
        <v>241</v>
      </c>
      <c r="H405" s="1" t="s">
        <v>128</v>
      </c>
      <c r="I405" s="1">
        <v>1</v>
      </c>
      <c r="J405" s="1">
        <v>36461</v>
      </c>
      <c r="K405" s="1">
        <v>30991.85</v>
      </c>
      <c r="L405" s="1" t="s">
        <v>227</v>
      </c>
      <c r="M405" s="1">
        <v>15</v>
      </c>
      <c r="N405" s="1">
        <v>4199.6899999999996</v>
      </c>
    </row>
    <row r="406" spans="1:14" x14ac:dyDescent="0.25">
      <c r="A406" s="1">
        <v>1405</v>
      </c>
      <c r="B406" s="1" t="s">
        <v>357</v>
      </c>
      <c r="C406" s="1" t="s">
        <v>213</v>
      </c>
      <c r="D406" s="1" t="s">
        <v>232</v>
      </c>
      <c r="E406" s="1" t="s">
        <v>233</v>
      </c>
      <c r="F406" s="1" t="s">
        <v>215</v>
      </c>
      <c r="G406" s="1" t="s">
        <v>244</v>
      </c>
      <c r="H406" s="1" t="s">
        <v>217</v>
      </c>
      <c r="I406" s="1">
        <v>1</v>
      </c>
      <c r="J406" s="1">
        <v>30352</v>
      </c>
      <c r="K406" s="1">
        <v>28834.400000000001</v>
      </c>
      <c r="L406" s="1" t="s">
        <v>227</v>
      </c>
      <c r="M406" s="1">
        <v>5</v>
      </c>
      <c r="N406" s="1">
        <v>5805.06</v>
      </c>
    </row>
    <row r="407" spans="1:14" x14ac:dyDescent="0.25">
      <c r="A407" s="1">
        <v>1406</v>
      </c>
      <c r="B407" s="1" t="s">
        <v>358</v>
      </c>
      <c r="C407" s="1" t="s">
        <v>229</v>
      </c>
      <c r="D407" s="1" t="s">
        <v>232</v>
      </c>
      <c r="E407" s="1" t="s">
        <v>233</v>
      </c>
      <c r="F407" s="1" t="s">
        <v>230</v>
      </c>
      <c r="G407" s="1" t="s">
        <v>242</v>
      </c>
      <c r="H407" s="1" t="s">
        <v>128</v>
      </c>
      <c r="I407" s="1">
        <v>1</v>
      </c>
      <c r="J407" s="1">
        <v>26657</v>
      </c>
      <c r="K407" s="1">
        <v>22658.45</v>
      </c>
      <c r="L407" s="1" t="s">
        <v>222</v>
      </c>
      <c r="M407" s="1">
        <v>15</v>
      </c>
      <c r="N407" s="1">
        <v>2430.33</v>
      </c>
    </row>
    <row r="408" spans="1:14" x14ac:dyDescent="0.25">
      <c r="A408" s="1">
        <v>1407</v>
      </c>
      <c r="B408" s="1" t="s">
        <v>358</v>
      </c>
      <c r="C408" s="1" t="s">
        <v>219</v>
      </c>
      <c r="D408" s="1" t="s">
        <v>245</v>
      </c>
      <c r="E408" s="1" t="s">
        <v>124</v>
      </c>
      <c r="F408" s="1" t="s">
        <v>230</v>
      </c>
      <c r="G408" s="1" t="s">
        <v>231</v>
      </c>
      <c r="H408" s="1" t="s">
        <v>234</v>
      </c>
      <c r="I408" s="1">
        <v>3</v>
      </c>
      <c r="J408" s="1">
        <v>23838</v>
      </c>
      <c r="K408" s="1">
        <v>60786.9</v>
      </c>
      <c r="L408" s="1" t="s">
        <v>240</v>
      </c>
      <c r="M408" s="1">
        <v>15</v>
      </c>
      <c r="N408" s="1">
        <v>14412.25</v>
      </c>
    </row>
    <row r="409" spans="1:14" x14ac:dyDescent="0.25">
      <c r="A409" s="1">
        <v>1408</v>
      </c>
      <c r="B409" s="1" t="s">
        <v>359</v>
      </c>
      <c r="C409" s="1" t="s">
        <v>239</v>
      </c>
      <c r="D409" s="1" t="s">
        <v>224</v>
      </c>
      <c r="E409" s="1" t="s">
        <v>233</v>
      </c>
      <c r="F409" s="1" t="s">
        <v>215</v>
      </c>
      <c r="G409" s="1" t="s">
        <v>246</v>
      </c>
      <c r="H409" s="1" t="s">
        <v>128</v>
      </c>
      <c r="I409" s="1">
        <v>5</v>
      </c>
      <c r="J409" s="1">
        <v>37769</v>
      </c>
      <c r="K409" s="1">
        <v>160518.25</v>
      </c>
      <c r="L409" s="1" t="s">
        <v>218</v>
      </c>
      <c r="M409" s="1">
        <v>15</v>
      </c>
      <c r="N409" s="1">
        <v>36222.019999999997</v>
      </c>
    </row>
    <row r="410" spans="1:14" x14ac:dyDescent="0.25">
      <c r="A410" s="1">
        <v>1409</v>
      </c>
      <c r="B410" s="1" t="s">
        <v>359</v>
      </c>
      <c r="C410" s="1" t="s">
        <v>213</v>
      </c>
      <c r="D410" s="1" t="s">
        <v>245</v>
      </c>
      <c r="E410" s="1" t="s">
        <v>124</v>
      </c>
      <c r="F410" s="1" t="s">
        <v>225</v>
      </c>
      <c r="G410" s="1" t="s">
        <v>226</v>
      </c>
      <c r="H410" s="1" t="s">
        <v>128</v>
      </c>
      <c r="I410" s="1">
        <v>4</v>
      </c>
      <c r="J410" s="1">
        <v>23404</v>
      </c>
      <c r="K410" s="1">
        <v>84254.399999999994</v>
      </c>
      <c r="L410" s="1" t="s">
        <v>240</v>
      </c>
      <c r="M410" s="1">
        <v>10</v>
      </c>
      <c r="N410" s="1">
        <v>14655.3</v>
      </c>
    </row>
    <row r="411" spans="1:14" x14ac:dyDescent="0.25">
      <c r="A411" s="1">
        <v>1410</v>
      </c>
      <c r="B411" s="1" t="s">
        <v>359</v>
      </c>
      <c r="C411" s="1" t="s">
        <v>219</v>
      </c>
      <c r="D411" s="1" t="s">
        <v>232</v>
      </c>
      <c r="E411" s="1" t="s">
        <v>233</v>
      </c>
      <c r="F411" s="1" t="s">
        <v>215</v>
      </c>
      <c r="G411" s="1" t="s">
        <v>244</v>
      </c>
      <c r="H411" s="1" t="s">
        <v>217</v>
      </c>
      <c r="I411" s="1">
        <v>4</v>
      </c>
      <c r="J411" s="1">
        <v>16145</v>
      </c>
      <c r="K411" s="1">
        <v>61351</v>
      </c>
      <c r="L411" s="1" t="s">
        <v>240</v>
      </c>
      <c r="M411" s="1">
        <v>5</v>
      </c>
      <c r="N411" s="1">
        <v>16374.45</v>
      </c>
    </row>
    <row r="412" spans="1:14" x14ac:dyDescent="0.25">
      <c r="A412" s="1">
        <v>1411</v>
      </c>
      <c r="B412" s="1" t="s">
        <v>360</v>
      </c>
      <c r="C412" s="1" t="s">
        <v>239</v>
      </c>
      <c r="D412" s="1" t="s">
        <v>232</v>
      </c>
      <c r="E412" s="1" t="s">
        <v>233</v>
      </c>
      <c r="F412" s="1" t="s">
        <v>215</v>
      </c>
      <c r="G412" s="1" t="s">
        <v>246</v>
      </c>
      <c r="H412" s="1" t="s">
        <v>221</v>
      </c>
      <c r="I412" s="1">
        <v>2</v>
      </c>
      <c r="J412" s="1">
        <v>38917</v>
      </c>
      <c r="K412" s="1">
        <v>70050.600000000006</v>
      </c>
      <c r="L412" s="1" t="s">
        <v>227</v>
      </c>
      <c r="M412" s="1">
        <v>10</v>
      </c>
      <c r="N412" s="1">
        <v>11209.7</v>
      </c>
    </row>
    <row r="413" spans="1:14" x14ac:dyDescent="0.25">
      <c r="A413" s="1">
        <v>1412</v>
      </c>
      <c r="B413" s="1" t="s">
        <v>360</v>
      </c>
      <c r="C413" s="1" t="s">
        <v>229</v>
      </c>
      <c r="D413" s="1" t="s">
        <v>245</v>
      </c>
      <c r="E413" s="1" t="s">
        <v>124</v>
      </c>
      <c r="F413" s="1" t="s">
        <v>225</v>
      </c>
      <c r="G413" s="1" t="s">
        <v>226</v>
      </c>
      <c r="H413" s="1" t="s">
        <v>221</v>
      </c>
      <c r="I413" s="1">
        <v>3</v>
      </c>
      <c r="J413" s="1">
        <v>22177</v>
      </c>
      <c r="K413" s="1">
        <v>59877.9</v>
      </c>
      <c r="L413" s="1" t="s">
        <v>227</v>
      </c>
      <c r="M413" s="1">
        <v>10</v>
      </c>
      <c r="N413" s="1">
        <v>11611.09</v>
      </c>
    </row>
    <row r="414" spans="1:14" x14ac:dyDescent="0.25">
      <c r="A414" s="1">
        <v>1413</v>
      </c>
      <c r="B414" s="1" t="s">
        <v>360</v>
      </c>
      <c r="C414" s="1" t="s">
        <v>219</v>
      </c>
      <c r="D414" s="1" t="s">
        <v>224</v>
      </c>
      <c r="E414" s="1" t="s">
        <v>233</v>
      </c>
      <c r="F414" s="1" t="s">
        <v>215</v>
      </c>
      <c r="G414" s="1" t="s">
        <v>244</v>
      </c>
      <c r="H414" s="1" t="s">
        <v>128</v>
      </c>
      <c r="I414" s="1">
        <v>5</v>
      </c>
      <c r="J414" s="1">
        <v>23017</v>
      </c>
      <c r="K414" s="1">
        <v>97822.25</v>
      </c>
      <c r="L414" s="1" t="s">
        <v>240</v>
      </c>
      <c r="M414" s="1">
        <v>15</v>
      </c>
      <c r="N414" s="1">
        <v>18583.68</v>
      </c>
    </row>
    <row r="415" spans="1:14" x14ac:dyDescent="0.25">
      <c r="A415" s="1">
        <v>1414</v>
      </c>
      <c r="B415" s="1" t="s">
        <v>360</v>
      </c>
      <c r="C415" s="1" t="s">
        <v>223</v>
      </c>
      <c r="D415" s="1" t="s">
        <v>232</v>
      </c>
      <c r="E415" s="1" t="s">
        <v>233</v>
      </c>
      <c r="F415" s="1" t="s">
        <v>215</v>
      </c>
      <c r="G415" s="1" t="s">
        <v>216</v>
      </c>
      <c r="H415" s="1" t="s">
        <v>128</v>
      </c>
      <c r="I415" s="1">
        <v>3</v>
      </c>
      <c r="J415" s="1">
        <v>5964</v>
      </c>
      <c r="K415" s="1">
        <v>16997.400000000001</v>
      </c>
      <c r="L415" s="1" t="s">
        <v>240</v>
      </c>
      <c r="M415" s="1">
        <v>5</v>
      </c>
      <c r="N415" s="1">
        <v>2141.98</v>
      </c>
    </row>
    <row r="416" spans="1:14" x14ac:dyDescent="0.25">
      <c r="A416" s="1">
        <v>1415</v>
      </c>
      <c r="B416" s="1" t="s">
        <v>361</v>
      </c>
      <c r="C416" s="1" t="s">
        <v>219</v>
      </c>
      <c r="D416" s="1" t="s">
        <v>224</v>
      </c>
      <c r="E416" s="1" t="s">
        <v>233</v>
      </c>
      <c r="F416" s="1" t="s">
        <v>225</v>
      </c>
      <c r="G416" s="1" t="s">
        <v>236</v>
      </c>
      <c r="H416" s="1" t="s">
        <v>217</v>
      </c>
      <c r="I416" s="1">
        <v>3</v>
      </c>
      <c r="J416" s="1">
        <v>41302</v>
      </c>
      <c r="K416" s="1">
        <v>105320.1</v>
      </c>
      <c r="L416" s="1" t="s">
        <v>227</v>
      </c>
      <c r="M416" s="1">
        <v>15</v>
      </c>
      <c r="N416" s="1">
        <v>30747.77</v>
      </c>
    </row>
    <row r="417" spans="1:14" x14ac:dyDescent="0.25">
      <c r="A417" s="1">
        <v>1416</v>
      </c>
      <c r="B417" s="1" t="s">
        <v>361</v>
      </c>
      <c r="C417" s="1" t="s">
        <v>239</v>
      </c>
      <c r="D417" s="1" t="s">
        <v>245</v>
      </c>
      <c r="E417" s="1" t="s">
        <v>124</v>
      </c>
      <c r="F417" s="1" t="s">
        <v>225</v>
      </c>
      <c r="G417" s="1" t="s">
        <v>236</v>
      </c>
      <c r="H417" s="1" t="s">
        <v>128</v>
      </c>
      <c r="I417" s="1">
        <v>1</v>
      </c>
      <c r="J417" s="1">
        <v>35634</v>
      </c>
      <c r="K417" s="1">
        <v>32070.6</v>
      </c>
      <c r="L417" s="1" t="s">
        <v>227</v>
      </c>
      <c r="M417" s="1">
        <v>10</v>
      </c>
      <c r="N417" s="1">
        <v>3696.88</v>
      </c>
    </row>
    <row r="418" spans="1:14" x14ac:dyDescent="0.25">
      <c r="A418" s="1">
        <v>1417</v>
      </c>
      <c r="B418" s="1" t="s">
        <v>361</v>
      </c>
      <c r="C418" s="1" t="s">
        <v>213</v>
      </c>
      <c r="D418" s="1" t="s">
        <v>220</v>
      </c>
      <c r="E418" s="1" t="s">
        <v>85</v>
      </c>
      <c r="F418" s="1" t="s">
        <v>230</v>
      </c>
      <c r="G418" s="1" t="s">
        <v>231</v>
      </c>
      <c r="H418" s="1" t="s">
        <v>217</v>
      </c>
      <c r="I418" s="1">
        <v>2</v>
      </c>
      <c r="J418" s="1">
        <v>45597</v>
      </c>
      <c r="K418" s="1">
        <v>77514.899999999994</v>
      </c>
      <c r="L418" s="1" t="s">
        <v>218</v>
      </c>
      <c r="M418" s="1">
        <v>15</v>
      </c>
      <c r="N418" s="1">
        <v>19293.849999999999</v>
      </c>
    </row>
    <row r="419" spans="1:14" x14ac:dyDescent="0.25">
      <c r="A419" s="1">
        <v>1418</v>
      </c>
      <c r="B419" s="1" t="s">
        <v>361</v>
      </c>
      <c r="C419" s="1" t="s">
        <v>239</v>
      </c>
      <c r="D419" s="1" t="s">
        <v>245</v>
      </c>
      <c r="E419" s="1" t="s">
        <v>124</v>
      </c>
      <c r="F419" s="1" t="s">
        <v>230</v>
      </c>
      <c r="G419" s="1" t="s">
        <v>242</v>
      </c>
      <c r="H419" s="1" t="s">
        <v>221</v>
      </c>
      <c r="I419" s="1">
        <v>4</v>
      </c>
      <c r="J419" s="1">
        <v>2951</v>
      </c>
      <c r="K419" s="1">
        <v>11804</v>
      </c>
      <c r="L419" s="1" t="s">
        <v>218</v>
      </c>
      <c r="M419" s="1">
        <v>0</v>
      </c>
      <c r="N419" s="1">
        <v>1946.64</v>
      </c>
    </row>
    <row r="420" spans="1:14" x14ac:dyDescent="0.25">
      <c r="A420" s="1">
        <v>1419</v>
      </c>
      <c r="B420" s="1" t="s">
        <v>362</v>
      </c>
      <c r="C420" s="1" t="s">
        <v>229</v>
      </c>
      <c r="D420" s="1" t="s">
        <v>245</v>
      </c>
      <c r="E420" s="1" t="s">
        <v>124</v>
      </c>
      <c r="F420" s="1" t="s">
        <v>215</v>
      </c>
      <c r="G420" s="1" t="s">
        <v>216</v>
      </c>
      <c r="H420" s="1" t="s">
        <v>217</v>
      </c>
      <c r="I420" s="1">
        <v>4</v>
      </c>
      <c r="J420" s="1">
        <v>43842</v>
      </c>
      <c r="K420" s="1">
        <v>166599.6</v>
      </c>
      <c r="L420" s="1" t="s">
        <v>218</v>
      </c>
      <c r="M420" s="1">
        <v>5</v>
      </c>
      <c r="N420" s="1">
        <v>17176.16</v>
      </c>
    </row>
    <row r="421" spans="1:14" x14ac:dyDescent="0.25">
      <c r="A421" s="1">
        <v>1420</v>
      </c>
      <c r="B421" s="1" t="s">
        <v>362</v>
      </c>
      <c r="C421" s="1" t="s">
        <v>213</v>
      </c>
      <c r="D421" s="1" t="s">
        <v>245</v>
      </c>
      <c r="E421" s="1" t="s">
        <v>124</v>
      </c>
      <c r="F421" s="1" t="s">
        <v>230</v>
      </c>
      <c r="G421" s="1" t="s">
        <v>231</v>
      </c>
      <c r="H421" s="1" t="s">
        <v>221</v>
      </c>
      <c r="I421" s="1">
        <v>2</v>
      </c>
      <c r="J421" s="1">
        <v>47660</v>
      </c>
      <c r="K421" s="1">
        <v>95320</v>
      </c>
      <c r="L421" s="1" t="s">
        <v>218</v>
      </c>
      <c r="M421" s="1">
        <v>0</v>
      </c>
      <c r="N421" s="1">
        <v>10894.01</v>
      </c>
    </row>
    <row r="422" spans="1:14" x14ac:dyDescent="0.25">
      <c r="A422" s="1">
        <v>1421</v>
      </c>
      <c r="B422" s="1" t="s">
        <v>363</v>
      </c>
      <c r="C422" s="1" t="s">
        <v>229</v>
      </c>
      <c r="D422" s="1" t="s">
        <v>245</v>
      </c>
      <c r="E422" s="1" t="s">
        <v>124</v>
      </c>
      <c r="F422" s="1" t="s">
        <v>230</v>
      </c>
      <c r="G422" s="1" t="s">
        <v>241</v>
      </c>
      <c r="H422" s="1" t="s">
        <v>234</v>
      </c>
      <c r="I422" s="1">
        <v>3</v>
      </c>
      <c r="J422" s="1">
        <v>8028</v>
      </c>
      <c r="K422" s="1">
        <v>22879.8</v>
      </c>
      <c r="L422" s="1" t="s">
        <v>222</v>
      </c>
      <c r="M422" s="1">
        <v>5</v>
      </c>
      <c r="N422" s="1">
        <v>2337.84</v>
      </c>
    </row>
    <row r="423" spans="1:14" x14ac:dyDescent="0.25">
      <c r="A423" s="1">
        <v>1422</v>
      </c>
      <c r="B423" s="1" t="s">
        <v>363</v>
      </c>
      <c r="C423" s="1" t="s">
        <v>223</v>
      </c>
      <c r="D423" s="1" t="s">
        <v>245</v>
      </c>
      <c r="E423" s="1" t="s">
        <v>124</v>
      </c>
      <c r="F423" s="1" t="s">
        <v>230</v>
      </c>
      <c r="G423" s="1" t="s">
        <v>242</v>
      </c>
      <c r="H423" s="1" t="s">
        <v>221</v>
      </c>
      <c r="I423" s="1">
        <v>1</v>
      </c>
      <c r="J423" s="1">
        <v>49222</v>
      </c>
      <c r="K423" s="1">
        <v>46760.9</v>
      </c>
      <c r="L423" s="1" t="s">
        <v>240</v>
      </c>
      <c r="M423" s="1">
        <v>5</v>
      </c>
      <c r="N423" s="1">
        <v>12141.69</v>
      </c>
    </row>
    <row r="424" spans="1:14" x14ac:dyDescent="0.25">
      <c r="A424" s="1">
        <v>1423</v>
      </c>
      <c r="B424" s="1" t="s">
        <v>364</v>
      </c>
      <c r="C424" s="1" t="s">
        <v>229</v>
      </c>
      <c r="D424" s="1" t="s">
        <v>245</v>
      </c>
      <c r="E424" s="1" t="s">
        <v>124</v>
      </c>
      <c r="F424" s="1" t="s">
        <v>230</v>
      </c>
      <c r="G424" s="1" t="s">
        <v>241</v>
      </c>
      <c r="H424" s="1" t="s">
        <v>234</v>
      </c>
      <c r="I424" s="1">
        <v>2</v>
      </c>
      <c r="J424" s="1">
        <v>14250</v>
      </c>
      <c r="K424" s="1">
        <v>28500</v>
      </c>
      <c r="L424" s="1" t="s">
        <v>240</v>
      </c>
      <c r="M424" s="1">
        <v>0</v>
      </c>
      <c r="N424" s="1">
        <v>6254.15</v>
      </c>
    </row>
    <row r="425" spans="1:14" x14ac:dyDescent="0.25">
      <c r="A425" s="1">
        <v>1424</v>
      </c>
      <c r="B425" s="1" t="s">
        <v>364</v>
      </c>
      <c r="C425" s="1" t="s">
        <v>223</v>
      </c>
      <c r="D425" s="1" t="s">
        <v>232</v>
      </c>
      <c r="E425" s="1" t="s">
        <v>233</v>
      </c>
      <c r="F425" s="1" t="s">
        <v>225</v>
      </c>
      <c r="G425" s="1" t="s">
        <v>236</v>
      </c>
      <c r="H425" s="1" t="s">
        <v>221</v>
      </c>
      <c r="I425" s="1">
        <v>1</v>
      </c>
      <c r="J425" s="1">
        <v>6102</v>
      </c>
      <c r="K425" s="1">
        <v>5186.7</v>
      </c>
      <c r="L425" s="1" t="s">
        <v>240</v>
      </c>
      <c r="M425" s="1">
        <v>15</v>
      </c>
      <c r="N425" s="1">
        <v>1313.89</v>
      </c>
    </row>
    <row r="426" spans="1:14" x14ac:dyDescent="0.25">
      <c r="A426" s="1">
        <v>1425</v>
      </c>
      <c r="B426" s="1" t="s">
        <v>364</v>
      </c>
      <c r="C426" s="1" t="s">
        <v>229</v>
      </c>
      <c r="D426" s="1" t="s">
        <v>224</v>
      </c>
      <c r="E426" s="1" t="s">
        <v>233</v>
      </c>
      <c r="F426" s="1" t="s">
        <v>230</v>
      </c>
      <c r="G426" s="1" t="s">
        <v>241</v>
      </c>
      <c r="H426" s="1" t="s">
        <v>128</v>
      </c>
      <c r="I426" s="1">
        <v>3</v>
      </c>
      <c r="J426" s="1">
        <v>44673</v>
      </c>
      <c r="K426" s="1">
        <v>120617.1</v>
      </c>
      <c r="L426" s="1" t="s">
        <v>222</v>
      </c>
      <c r="M426" s="1">
        <v>10</v>
      </c>
      <c r="N426" s="1">
        <v>34188.82</v>
      </c>
    </row>
    <row r="427" spans="1:14" x14ac:dyDescent="0.25">
      <c r="A427" s="1">
        <v>1426</v>
      </c>
      <c r="B427" s="1" t="s">
        <v>365</v>
      </c>
      <c r="C427" s="1" t="s">
        <v>239</v>
      </c>
      <c r="D427" s="1" t="s">
        <v>245</v>
      </c>
      <c r="E427" s="1" t="s">
        <v>124</v>
      </c>
      <c r="F427" s="1" t="s">
        <v>230</v>
      </c>
      <c r="G427" s="1" t="s">
        <v>241</v>
      </c>
      <c r="H427" s="1" t="s">
        <v>128</v>
      </c>
      <c r="I427" s="1">
        <v>1</v>
      </c>
      <c r="J427" s="1">
        <v>39777</v>
      </c>
      <c r="K427" s="1">
        <v>37788.15</v>
      </c>
      <c r="L427" s="1" t="s">
        <v>218</v>
      </c>
      <c r="M427" s="1">
        <v>5</v>
      </c>
      <c r="N427" s="1">
        <v>6444.37</v>
      </c>
    </row>
    <row r="428" spans="1:14" x14ac:dyDescent="0.25">
      <c r="A428" s="1">
        <v>1427</v>
      </c>
      <c r="B428" s="1" t="s">
        <v>365</v>
      </c>
      <c r="C428" s="1" t="s">
        <v>219</v>
      </c>
      <c r="D428" s="1" t="s">
        <v>245</v>
      </c>
      <c r="E428" s="1" t="s">
        <v>124</v>
      </c>
      <c r="F428" s="1" t="s">
        <v>225</v>
      </c>
      <c r="G428" s="1" t="s">
        <v>226</v>
      </c>
      <c r="H428" s="1" t="s">
        <v>221</v>
      </c>
      <c r="I428" s="1">
        <v>4</v>
      </c>
      <c r="J428" s="1">
        <v>4266</v>
      </c>
      <c r="K428" s="1">
        <v>14504.4</v>
      </c>
      <c r="L428" s="1" t="s">
        <v>240</v>
      </c>
      <c r="M428" s="1">
        <v>15</v>
      </c>
      <c r="N428" s="1">
        <v>1526.05</v>
      </c>
    </row>
    <row r="429" spans="1:14" x14ac:dyDescent="0.25">
      <c r="A429" s="1">
        <v>1428</v>
      </c>
      <c r="B429" s="1" t="s">
        <v>365</v>
      </c>
      <c r="C429" s="1" t="s">
        <v>213</v>
      </c>
      <c r="D429" s="1" t="s">
        <v>245</v>
      </c>
      <c r="E429" s="1" t="s">
        <v>124</v>
      </c>
      <c r="F429" s="1" t="s">
        <v>225</v>
      </c>
      <c r="G429" s="1" t="s">
        <v>226</v>
      </c>
      <c r="H429" s="1" t="s">
        <v>217</v>
      </c>
      <c r="I429" s="1">
        <v>3</v>
      </c>
      <c r="J429" s="1">
        <v>18571</v>
      </c>
      <c r="K429" s="1">
        <v>47356.05</v>
      </c>
      <c r="L429" s="1" t="s">
        <v>222</v>
      </c>
      <c r="M429" s="1">
        <v>15</v>
      </c>
      <c r="N429" s="1">
        <v>12248.93</v>
      </c>
    </row>
    <row r="430" spans="1:14" x14ac:dyDescent="0.25">
      <c r="A430" s="1">
        <v>1429</v>
      </c>
      <c r="B430" s="1" t="s">
        <v>365</v>
      </c>
      <c r="C430" s="1" t="s">
        <v>219</v>
      </c>
      <c r="D430" s="1" t="s">
        <v>214</v>
      </c>
      <c r="E430" s="1" t="s">
        <v>124</v>
      </c>
      <c r="F430" s="1" t="s">
        <v>225</v>
      </c>
      <c r="G430" s="1" t="s">
        <v>248</v>
      </c>
      <c r="H430" s="1" t="s">
        <v>217</v>
      </c>
      <c r="I430" s="1">
        <v>1</v>
      </c>
      <c r="J430" s="1">
        <v>40728</v>
      </c>
      <c r="K430" s="1">
        <v>36655.199999999997</v>
      </c>
      <c r="L430" s="1" t="s">
        <v>222</v>
      </c>
      <c r="M430" s="1">
        <v>10</v>
      </c>
      <c r="N430" s="1">
        <v>6720.76</v>
      </c>
    </row>
    <row r="431" spans="1:14" x14ac:dyDescent="0.25">
      <c r="A431" s="1">
        <v>1430</v>
      </c>
      <c r="B431" s="1" t="s">
        <v>366</v>
      </c>
      <c r="C431" s="1" t="s">
        <v>213</v>
      </c>
      <c r="D431" s="1" t="s">
        <v>232</v>
      </c>
      <c r="E431" s="1" t="s">
        <v>233</v>
      </c>
      <c r="F431" s="1" t="s">
        <v>225</v>
      </c>
      <c r="G431" s="1" t="s">
        <v>236</v>
      </c>
      <c r="H431" s="1" t="s">
        <v>217</v>
      </c>
      <c r="I431" s="1">
        <v>1</v>
      </c>
      <c r="J431" s="1">
        <v>42028</v>
      </c>
      <c r="K431" s="1">
        <v>37825.199999999997</v>
      </c>
      <c r="L431" s="1" t="s">
        <v>222</v>
      </c>
      <c r="M431" s="1">
        <v>10</v>
      </c>
      <c r="N431" s="1">
        <v>5835.59</v>
      </c>
    </row>
    <row r="432" spans="1:14" x14ac:dyDescent="0.25">
      <c r="A432" s="1">
        <v>1431</v>
      </c>
      <c r="B432" s="1" t="s">
        <v>366</v>
      </c>
      <c r="C432" s="1" t="s">
        <v>229</v>
      </c>
      <c r="D432" s="1" t="s">
        <v>220</v>
      </c>
      <c r="E432" s="1" t="s">
        <v>85</v>
      </c>
      <c r="F432" s="1" t="s">
        <v>230</v>
      </c>
      <c r="G432" s="1" t="s">
        <v>231</v>
      </c>
      <c r="H432" s="1" t="s">
        <v>217</v>
      </c>
      <c r="I432" s="1">
        <v>5</v>
      </c>
      <c r="J432" s="1">
        <v>6476</v>
      </c>
      <c r="K432" s="1">
        <v>29142</v>
      </c>
      <c r="L432" s="1" t="s">
        <v>240</v>
      </c>
      <c r="M432" s="1">
        <v>10</v>
      </c>
      <c r="N432" s="1">
        <v>5000.83</v>
      </c>
    </row>
    <row r="433" spans="1:14" x14ac:dyDescent="0.25">
      <c r="A433" s="1">
        <v>1432</v>
      </c>
      <c r="B433" s="1" t="s">
        <v>366</v>
      </c>
      <c r="C433" s="1" t="s">
        <v>229</v>
      </c>
      <c r="D433" s="1" t="s">
        <v>224</v>
      </c>
      <c r="E433" s="1" t="s">
        <v>233</v>
      </c>
      <c r="F433" s="1" t="s">
        <v>225</v>
      </c>
      <c r="G433" s="1" t="s">
        <v>226</v>
      </c>
      <c r="H433" s="1" t="s">
        <v>234</v>
      </c>
      <c r="I433" s="1">
        <v>1</v>
      </c>
      <c r="J433" s="1">
        <v>5268</v>
      </c>
      <c r="K433" s="1">
        <v>4477.8</v>
      </c>
      <c r="L433" s="1" t="s">
        <v>218</v>
      </c>
      <c r="M433" s="1">
        <v>15</v>
      </c>
      <c r="N433" s="1">
        <v>718.9</v>
      </c>
    </row>
    <row r="434" spans="1:14" x14ac:dyDescent="0.25">
      <c r="A434" s="1">
        <v>1433</v>
      </c>
      <c r="B434" s="1" t="s">
        <v>366</v>
      </c>
      <c r="C434" s="1" t="s">
        <v>219</v>
      </c>
      <c r="D434" s="1" t="s">
        <v>220</v>
      </c>
      <c r="E434" s="1" t="s">
        <v>85</v>
      </c>
      <c r="F434" s="1" t="s">
        <v>225</v>
      </c>
      <c r="G434" s="1" t="s">
        <v>236</v>
      </c>
      <c r="H434" s="1" t="s">
        <v>217</v>
      </c>
      <c r="I434" s="1">
        <v>3</v>
      </c>
      <c r="J434" s="1">
        <v>21815</v>
      </c>
      <c r="K434" s="1">
        <v>58900.5</v>
      </c>
      <c r="L434" s="1" t="s">
        <v>240</v>
      </c>
      <c r="M434" s="1">
        <v>10</v>
      </c>
      <c r="N434" s="1">
        <v>8987.3700000000008</v>
      </c>
    </row>
    <row r="435" spans="1:14" x14ac:dyDescent="0.25">
      <c r="A435" s="1">
        <v>1434</v>
      </c>
      <c r="B435" s="1" t="s">
        <v>366</v>
      </c>
      <c r="C435" s="1" t="s">
        <v>213</v>
      </c>
      <c r="D435" s="1" t="s">
        <v>245</v>
      </c>
      <c r="E435" s="1" t="s">
        <v>124</v>
      </c>
      <c r="F435" s="1" t="s">
        <v>225</v>
      </c>
      <c r="G435" s="1" t="s">
        <v>236</v>
      </c>
      <c r="H435" s="1" t="s">
        <v>217</v>
      </c>
      <c r="I435" s="1">
        <v>2</v>
      </c>
      <c r="J435" s="1">
        <v>18576</v>
      </c>
      <c r="K435" s="1">
        <v>31579.200000000001</v>
      </c>
      <c r="L435" s="1" t="s">
        <v>227</v>
      </c>
      <c r="M435" s="1">
        <v>15</v>
      </c>
      <c r="N435" s="1">
        <v>3627.38</v>
      </c>
    </row>
    <row r="436" spans="1:14" x14ac:dyDescent="0.25">
      <c r="A436" s="1">
        <v>1435</v>
      </c>
      <c r="B436" s="1" t="s">
        <v>367</v>
      </c>
      <c r="C436" s="1" t="s">
        <v>229</v>
      </c>
      <c r="D436" s="1" t="s">
        <v>220</v>
      </c>
      <c r="E436" s="1" t="s">
        <v>85</v>
      </c>
      <c r="F436" s="1" t="s">
        <v>215</v>
      </c>
      <c r="G436" s="1" t="s">
        <v>246</v>
      </c>
      <c r="H436" s="1" t="s">
        <v>234</v>
      </c>
      <c r="I436" s="1">
        <v>5</v>
      </c>
      <c r="J436" s="1">
        <v>35573</v>
      </c>
      <c r="K436" s="1">
        <v>177865</v>
      </c>
      <c r="L436" s="1" t="s">
        <v>227</v>
      </c>
      <c r="M436" s="1">
        <v>0</v>
      </c>
      <c r="N436" s="1">
        <v>25722.02</v>
      </c>
    </row>
    <row r="437" spans="1:14" x14ac:dyDescent="0.25">
      <c r="A437" s="1">
        <v>1436</v>
      </c>
      <c r="B437" s="1" t="s">
        <v>367</v>
      </c>
      <c r="C437" s="1" t="s">
        <v>223</v>
      </c>
      <c r="D437" s="1" t="s">
        <v>214</v>
      </c>
      <c r="E437" s="1" t="s">
        <v>124</v>
      </c>
      <c r="F437" s="1" t="s">
        <v>225</v>
      </c>
      <c r="G437" s="1" t="s">
        <v>226</v>
      </c>
      <c r="H437" s="1" t="s">
        <v>128</v>
      </c>
      <c r="I437" s="1">
        <v>3</v>
      </c>
      <c r="J437" s="1">
        <v>538</v>
      </c>
      <c r="K437" s="1">
        <v>1371.9</v>
      </c>
      <c r="L437" s="1" t="s">
        <v>227</v>
      </c>
      <c r="M437" s="1">
        <v>15</v>
      </c>
      <c r="N437" s="1">
        <v>333.42</v>
      </c>
    </row>
    <row r="438" spans="1:14" x14ac:dyDescent="0.25">
      <c r="A438" s="1">
        <v>1437</v>
      </c>
      <c r="B438" s="1" t="s">
        <v>368</v>
      </c>
      <c r="C438" s="1" t="s">
        <v>239</v>
      </c>
      <c r="D438" s="1" t="s">
        <v>224</v>
      </c>
      <c r="E438" s="1" t="s">
        <v>233</v>
      </c>
      <c r="F438" s="1" t="s">
        <v>230</v>
      </c>
      <c r="G438" s="1" t="s">
        <v>231</v>
      </c>
      <c r="H438" s="1" t="s">
        <v>217</v>
      </c>
      <c r="I438" s="1">
        <v>1</v>
      </c>
      <c r="J438" s="1">
        <v>2408</v>
      </c>
      <c r="K438" s="1">
        <v>2287.6</v>
      </c>
      <c r="L438" s="1" t="s">
        <v>218</v>
      </c>
      <c r="M438" s="1">
        <v>5</v>
      </c>
      <c r="N438" s="1">
        <v>681.81</v>
      </c>
    </row>
    <row r="439" spans="1:14" x14ac:dyDescent="0.25">
      <c r="A439" s="1">
        <v>1438</v>
      </c>
      <c r="B439" s="1" t="s">
        <v>368</v>
      </c>
      <c r="C439" s="1" t="s">
        <v>223</v>
      </c>
      <c r="D439" s="1" t="s">
        <v>214</v>
      </c>
      <c r="E439" s="1" t="s">
        <v>124</v>
      </c>
      <c r="F439" s="1" t="s">
        <v>215</v>
      </c>
      <c r="G439" s="1" t="s">
        <v>216</v>
      </c>
      <c r="H439" s="1" t="s">
        <v>234</v>
      </c>
      <c r="I439" s="1">
        <v>4</v>
      </c>
      <c r="J439" s="1">
        <v>36588</v>
      </c>
      <c r="K439" s="1">
        <v>146352</v>
      </c>
      <c r="L439" s="1" t="s">
        <v>222</v>
      </c>
      <c r="M439" s="1">
        <v>0</v>
      </c>
      <c r="N439" s="1">
        <v>29096.080000000002</v>
      </c>
    </row>
    <row r="440" spans="1:14" x14ac:dyDescent="0.25">
      <c r="A440" s="1">
        <v>1439</v>
      </c>
      <c r="B440" s="1" t="s">
        <v>368</v>
      </c>
      <c r="C440" s="1" t="s">
        <v>213</v>
      </c>
      <c r="D440" s="1" t="s">
        <v>232</v>
      </c>
      <c r="E440" s="1" t="s">
        <v>233</v>
      </c>
      <c r="F440" s="1" t="s">
        <v>215</v>
      </c>
      <c r="G440" s="1" t="s">
        <v>246</v>
      </c>
      <c r="H440" s="1" t="s">
        <v>128</v>
      </c>
      <c r="I440" s="1">
        <v>2</v>
      </c>
      <c r="J440" s="1">
        <v>49574</v>
      </c>
      <c r="K440" s="1">
        <v>89233.2</v>
      </c>
      <c r="L440" s="1" t="s">
        <v>240</v>
      </c>
      <c r="M440" s="1">
        <v>10</v>
      </c>
      <c r="N440" s="1">
        <v>22182.26</v>
      </c>
    </row>
    <row r="441" spans="1:14" x14ac:dyDescent="0.25">
      <c r="A441" s="1">
        <v>1440</v>
      </c>
      <c r="B441" s="1" t="s">
        <v>369</v>
      </c>
      <c r="C441" s="1" t="s">
        <v>213</v>
      </c>
      <c r="D441" s="1" t="s">
        <v>220</v>
      </c>
      <c r="E441" s="1" t="s">
        <v>85</v>
      </c>
      <c r="F441" s="1" t="s">
        <v>225</v>
      </c>
      <c r="G441" s="1" t="s">
        <v>236</v>
      </c>
      <c r="H441" s="1" t="s">
        <v>128</v>
      </c>
      <c r="I441" s="1">
        <v>5</v>
      </c>
      <c r="J441" s="1">
        <v>49966</v>
      </c>
      <c r="K441" s="1">
        <v>249830</v>
      </c>
      <c r="L441" s="1" t="s">
        <v>240</v>
      </c>
      <c r="M441" s="1">
        <v>0</v>
      </c>
      <c r="N441" s="1">
        <v>56661.33</v>
      </c>
    </row>
    <row r="442" spans="1:14" x14ac:dyDescent="0.25">
      <c r="A442" s="1">
        <v>1441</v>
      </c>
      <c r="B442" s="1" t="s">
        <v>369</v>
      </c>
      <c r="C442" s="1" t="s">
        <v>213</v>
      </c>
      <c r="D442" s="1" t="s">
        <v>224</v>
      </c>
      <c r="E442" s="1" t="s">
        <v>233</v>
      </c>
      <c r="F442" s="1" t="s">
        <v>215</v>
      </c>
      <c r="G442" s="1" t="s">
        <v>244</v>
      </c>
      <c r="H442" s="1" t="s">
        <v>221</v>
      </c>
      <c r="I442" s="1">
        <v>2</v>
      </c>
      <c r="J442" s="1">
        <v>24684</v>
      </c>
      <c r="K442" s="1">
        <v>49368</v>
      </c>
      <c r="L442" s="1" t="s">
        <v>227</v>
      </c>
      <c r="M442" s="1">
        <v>0</v>
      </c>
      <c r="N442" s="1">
        <v>11713.39</v>
      </c>
    </row>
    <row r="443" spans="1:14" x14ac:dyDescent="0.25">
      <c r="A443" s="1">
        <v>1442</v>
      </c>
      <c r="B443" s="1" t="s">
        <v>369</v>
      </c>
      <c r="C443" s="1" t="s">
        <v>223</v>
      </c>
      <c r="D443" s="1" t="s">
        <v>245</v>
      </c>
      <c r="E443" s="1" t="s">
        <v>124</v>
      </c>
      <c r="F443" s="1" t="s">
        <v>215</v>
      </c>
      <c r="G443" s="1" t="s">
        <v>244</v>
      </c>
      <c r="H443" s="1" t="s">
        <v>221</v>
      </c>
      <c r="I443" s="1">
        <v>4</v>
      </c>
      <c r="J443" s="1">
        <v>49891</v>
      </c>
      <c r="K443" s="1">
        <v>179607.6</v>
      </c>
      <c r="L443" s="1" t="s">
        <v>222</v>
      </c>
      <c r="M443" s="1">
        <v>10</v>
      </c>
      <c r="N443" s="1">
        <v>53662.69</v>
      </c>
    </row>
    <row r="444" spans="1:14" x14ac:dyDescent="0.25">
      <c r="A444" s="1">
        <v>1443</v>
      </c>
      <c r="B444" s="1" t="s">
        <v>369</v>
      </c>
      <c r="C444" s="1" t="s">
        <v>219</v>
      </c>
      <c r="D444" s="1" t="s">
        <v>245</v>
      </c>
      <c r="E444" s="1" t="s">
        <v>124</v>
      </c>
      <c r="F444" s="1" t="s">
        <v>230</v>
      </c>
      <c r="G444" s="1" t="s">
        <v>231</v>
      </c>
      <c r="H444" s="1" t="s">
        <v>234</v>
      </c>
      <c r="I444" s="1">
        <v>5</v>
      </c>
      <c r="J444" s="1">
        <v>3969</v>
      </c>
      <c r="K444" s="1">
        <v>17860.5</v>
      </c>
      <c r="L444" s="1" t="s">
        <v>218</v>
      </c>
      <c r="M444" s="1">
        <v>10</v>
      </c>
      <c r="N444" s="1">
        <v>5342.84</v>
      </c>
    </row>
    <row r="445" spans="1:14" x14ac:dyDescent="0.25">
      <c r="A445" s="1">
        <v>1444</v>
      </c>
      <c r="B445" s="1" t="s">
        <v>369</v>
      </c>
      <c r="C445" s="1" t="s">
        <v>229</v>
      </c>
      <c r="D445" s="1" t="s">
        <v>245</v>
      </c>
      <c r="E445" s="1" t="s">
        <v>124</v>
      </c>
      <c r="F445" s="1" t="s">
        <v>225</v>
      </c>
      <c r="G445" s="1" t="s">
        <v>248</v>
      </c>
      <c r="H445" s="1" t="s">
        <v>128</v>
      </c>
      <c r="I445" s="1">
        <v>2</v>
      </c>
      <c r="J445" s="1">
        <v>18704</v>
      </c>
      <c r="K445" s="1">
        <v>37408</v>
      </c>
      <c r="L445" s="1" t="s">
        <v>240</v>
      </c>
      <c r="M445" s="1">
        <v>0</v>
      </c>
      <c r="N445" s="1">
        <v>8155.95</v>
      </c>
    </row>
    <row r="446" spans="1:14" x14ac:dyDescent="0.25">
      <c r="A446" s="1">
        <v>1445</v>
      </c>
      <c r="B446" s="1" t="s">
        <v>370</v>
      </c>
      <c r="C446" s="1" t="s">
        <v>223</v>
      </c>
      <c r="D446" s="1" t="s">
        <v>220</v>
      </c>
      <c r="E446" s="1" t="s">
        <v>85</v>
      </c>
      <c r="F446" s="1" t="s">
        <v>215</v>
      </c>
      <c r="G446" s="1" t="s">
        <v>244</v>
      </c>
      <c r="H446" s="1" t="s">
        <v>234</v>
      </c>
      <c r="I446" s="1">
        <v>1</v>
      </c>
      <c r="J446" s="1">
        <v>41656</v>
      </c>
      <c r="K446" s="1">
        <v>37490.400000000001</v>
      </c>
      <c r="L446" s="1" t="s">
        <v>240</v>
      </c>
      <c r="M446" s="1">
        <v>10</v>
      </c>
      <c r="N446" s="1">
        <v>9972.5400000000009</v>
      </c>
    </row>
    <row r="447" spans="1:14" x14ac:dyDescent="0.25">
      <c r="A447" s="1">
        <v>1446</v>
      </c>
      <c r="B447" s="1" t="s">
        <v>370</v>
      </c>
      <c r="C447" s="1" t="s">
        <v>223</v>
      </c>
      <c r="D447" s="1" t="s">
        <v>220</v>
      </c>
      <c r="E447" s="1" t="s">
        <v>85</v>
      </c>
      <c r="F447" s="1" t="s">
        <v>215</v>
      </c>
      <c r="G447" s="1" t="s">
        <v>216</v>
      </c>
      <c r="H447" s="1" t="s">
        <v>217</v>
      </c>
      <c r="I447" s="1">
        <v>2</v>
      </c>
      <c r="J447" s="1">
        <v>11630</v>
      </c>
      <c r="K447" s="1">
        <v>20934</v>
      </c>
      <c r="L447" s="1" t="s">
        <v>222</v>
      </c>
      <c r="M447" s="1">
        <v>10</v>
      </c>
      <c r="N447" s="1">
        <v>3819.22</v>
      </c>
    </row>
    <row r="448" spans="1:14" x14ac:dyDescent="0.25">
      <c r="A448" s="1">
        <v>1447</v>
      </c>
      <c r="B448" s="1" t="s">
        <v>370</v>
      </c>
      <c r="C448" s="1" t="s">
        <v>219</v>
      </c>
      <c r="D448" s="1" t="s">
        <v>220</v>
      </c>
      <c r="E448" s="1" t="s">
        <v>85</v>
      </c>
      <c r="F448" s="1" t="s">
        <v>230</v>
      </c>
      <c r="G448" s="1" t="s">
        <v>241</v>
      </c>
      <c r="H448" s="1" t="s">
        <v>221</v>
      </c>
      <c r="I448" s="1">
        <v>1</v>
      </c>
      <c r="J448" s="1">
        <v>35499</v>
      </c>
      <c r="K448" s="1">
        <v>35499</v>
      </c>
      <c r="L448" s="1" t="s">
        <v>227</v>
      </c>
      <c r="M448" s="1">
        <v>0</v>
      </c>
      <c r="N448" s="1">
        <v>4078.78</v>
      </c>
    </row>
    <row r="449" spans="1:14" x14ac:dyDescent="0.25">
      <c r="A449" s="1">
        <v>1448</v>
      </c>
      <c r="B449" s="1" t="s">
        <v>371</v>
      </c>
      <c r="C449" s="1" t="s">
        <v>229</v>
      </c>
      <c r="D449" s="1" t="s">
        <v>214</v>
      </c>
      <c r="E449" s="1" t="s">
        <v>124</v>
      </c>
      <c r="F449" s="1" t="s">
        <v>225</v>
      </c>
      <c r="G449" s="1" t="s">
        <v>236</v>
      </c>
      <c r="H449" s="1" t="s">
        <v>234</v>
      </c>
      <c r="I449" s="1">
        <v>3</v>
      </c>
      <c r="J449" s="1">
        <v>10025</v>
      </c>
      <c r="K449" s="1">
        <v>25563.75</v>
      </c>
      <c r="L449" s="1" t="s">
        <v>218</v>
      </c>
      <c r="M449" s="1">
        <v>15</v>
      </c>
      <c r="N449" s="1">
        <v>4325.95</v>
      </c>
    </row>
    <row r="450" spans="1:14" x14ac:dyDescent="0.25">
      <c r="A450" s="1">
        <v>1449</v>
      </c>
      <c r="B450" s="1" t="s">
        <v>371</v>
      </c>
      <c r="C450" s="1" t="s">
        <v>223</v>
      </c>
      <c r="D450" s="1" t="s">
        <v>224</v>
      </c>
      <c r="E450" s="1" t="s">
        <v>233</v>
      </c>
      <c r="F450" s="1" t="s">
        <v>225</v>
      </c>
      <c r="G450" s="1" t="s">
        <v>236</v>
      </c>
      <c r="H450" s="1" t="s">
        <v>217</v>
      </c>
      <c r="I450" s="1">
        <v>2</v>
      </c>
      <c r="J450" s="1">
        <v>37188</v>
      </c>
      <c r="K450" s="1">
        <v>63219.6</v>
      </c>
      <c r="L450" s="1" t="s">
        <v>227</v>
      </c>
      <c r="M450" s="1">
        <v>15</v>
      </c>
      <c r="N450" s="1">
        <v>6556.94</v>
      </c>
    </row>
    <row r="451" spans="1:14" x14ac:dyDescent="0.25">
      <c r="A451" s="1">
        <v>1450</v>
      </c>
      <c r="B451" s="1" t="s">
        <v>371</v>
      </c>
      <c r="C451" s="1" t="s">
        <v>239</v>
      </c>
      <c r="D451" s="1" t="s">
        <v>214</v>
      </c>
      <c r="E451" s="1" t="s">
        <v>124</v>
      </c>
      <c r="F451" s="1" t="s">
        <v>230</v>
      </c>
      <c r="G451" s="1" t="s">
        <v>231</v>
      </c>
      <c r="H451" s="1" t="s">
        <v>217</v>
      </c>
      <c r="I451" s="1">
        <v>2</v>
      </c>
      <c r="J451" s="1">
        <v>18727</v>
      </c>
      <c r="K451" s="1">
        <v>35581.300000000003</v>
      </c>
      <c r="L451" s="1" t="s">
        <v>240</v>
      </c>
      <c r="M451" s="1">
        <v>5</v>
      </c>
      <c r="N451" s="1">
        <v>10446.969999999999</v>
      </c>
    </row>
    <row r="452" spans="1:14" x14ac:dyDescent="0.25">
      <c r="A452" s="1">
        <v>1451</v>
      </c>
      <c r="B452" s="1" t="s">
        <v>372</v>
      </c>
      <c r="C452" s="1" t="s">
        <v>213</v>
      </c>
      <c r="D452" s="1" t="s">
        <v>214</v>
      </c>
      <c r="E452" s="1" t="s">
        <v>124</v>
      </c>
      <c r="F452" s="1" t="s">
        <v>215</v>
      </c>
      <c r="G452" s="1" t="s">
        <v>246</v>
      </c>
      <c r="H452" s="1" t="s">
        <v>128</v>
      </c>
      <c r="I452" s="1">
        <v>2</v>
      </c>
      <c r="J452" s="1">
        <v>11987</v>
      </c>
      <c r="K452" s="1">
        <v>23974</v>
      </c>
      <c r="L452" s="1" t="s">
        <v>227</v>
      </c>
      <c r="M452" s="1">
        <v>0</v>
      </c>
      <c r="N452" s="1">
        <v>6517.24</v>
      </c>
    </row>
    <row r="453" spans="1:14" x14ac:dyDescent="0.25">
      <c r="A453" s="1">
        <v>1452</v>
      </c>
      <c r="B453" s="1" t="s">
        <v>372</v>
      </c>
      <c r="C453" s="1" t="s">
        <v>229</v>
      </c>
      <c r="D453" s="1" t="s">
        <v>232</v>
      </c>
      <c r="E453" s="1" t="s">
        <v>233</v>
      </c>
      <c r="F453" s="1" t="s">
        <v>230</v>
      </c>
      <c r="G453" s="1" t="s">
        <v>241</v>
      </c>
      <c r="H453" s="1" t="s">
        <v>128</v>
      </c>
      <c r="I453" s="1">
        <v>5</v>
      </c>
      <c r="J453" s="1">
        <v>26775</v>
      </c>
      <c r="K453" s="1">
        <v>127181.25</v>
      </c>
      <c r="L453" s="1" t="s">
        <v>227</v>
      </c>
      <c r="M453" s="1">
        <v>5</v>
      </c>
      <c r="N453" s="1">
        <v>31821.05</v>
      </c>
    </row>
    <row r="454" spans="1:14" x14ac:dyDescent="0.25">
      <c r="A454" s="1">
        <v>1453</v>
      </c>
      <c r="B454" s="1" t="s">
        <v>372</v>
      </c>
      <c r="C454" s="1" t="s">
        <v>223</v>
      </c>
      <c r="D454" s="1" t="s">
        <v>220</v>
      </c>
      <c r="E454" s="1" t="s">
        <v>85</v>
      </c>
      <c r="F454" s="1" t="s">
        <v>215</v>
      </c>
      <c r="G454" s="1" t="s">
        <v>244</v>
      </c>
      <c r="H454" s="1" t="s">
        <v>234</v>
      </c>
      <c r="I454" s="1">
        <v>5</v>
      </c>
      <c r="J454" s="1">
        <v>2585</v>
      </c>
      <c r="K454" s="1">
        <v>11632.5</v>
      </c>
      <c r="L454" s="1" t="s">
        <v>218</v>
      </c>
      <c r="M454" s="1">
        <v>10</v>
      </c>
      <c r="N454" s="1">
        <v>1444.77</v>
      </c>
    </row>
    <row r="455" spans="1:14" x14ac:dyDescent="0.25">
      <c r="A455" s="1">
        <v>1454</v>
      </c>
      <c r="B455" s="1" t="s">
        <v>373</v>
      </c>
      <c r="C455" s="1" t="s">
        <v>223</v>
      </c>
      <c r="D455" s="1" t="s">
        <v>245</v>
      </c>
      <c r="E455" s="1" t="s">
        <v>124</v>
      </c>
      <c r="F455" s="1" t="s">
        <v>230</v>
      </c>
      <c r="G455" s="1" t="s">
        <v>231</v>
      </c>
      <c r="H455" s="1" t="s">
        <v>128</v>
      </c>
      <c r="I455" s="1">
        <v>3</v>
      </c>
      <c r="J455" s="1">
        <v>9105</v>
      </c>
      <c r="K455" s="1">
        <v>24583.5</v>
      </c>
      <c r="L455" s="1" t="s">
        <v>227</v>
      </c>
      <c r="M455" s="1">
        <v>10</v>
      </c>
      <c r="N455" s="1">
        <v>3040.33</v>
      </c>
    </row>
    <row r="456" spans="1:14" x14ac:dyDescent="0.25">
      <c r="A456" s="1">
        <v>1455</v>
      </c>
      <c r="B456" s="1" t="s">
        <v>373</v>
      </c>
      <c r="C456" s="1" t="s">
        <v>213</v>
      </c>
      <c r="D456" s="1" t="s">
        <v>224</v>
      </c>
      <c r="E456" s="1" t="s">
        <v>233</v>
      </c>
      <c r="F456" s="1" t="s">
        <v>225</v>
      </c>
      <c r="G456" s="1" t="s">
        <v>248</v>
      </c>
      <c r="H456" s="1" t="s">
        <v>234</v>
      </c>
      <c r="I456" s="1">
        <v>2</v>
      </c>
      <c r="J456" s="1">
        <v>7280</v>
      </c>
      <c r="K456" s="1">
        <v>13104</v>
      </c>
      <c r="L456" s="1" t="s">
        <v>218</v>
      </c>
      <c r="M456" s="1">
        <v>10</v>
      </c>
      <c r="N456" s="1">
        <v>2474.21</v>
      </c>
    </row>
    <row r="457" spans="1:14" x14ac:dyDescent="0.25">
      <c r="A457" s="1">
        <v>1456</v>
      </c>
      <c r="B457" s="1" t="s">
        <v>373</v>
      </c>
      <c r="C457" s="1" t="s">
        <v>219</v>
      </c>
      <c r="D457" s="1" t="s">
        <v>214</v>
      </c>
      <c r="E457" s="1" t="s">
        <v>124</v>
      </c>
      <c r="F457" s="1" t="s">
        <v>215</v>
      </c>
      <c r="G457" s="1" t="s">
        <v>246</v>
      </c>
      <c r="H457" s="1" t="s">
        <v>234</v>
      </c>
      <c r="I457" s="1">
        <v>1</v>
      </c>
      <c r="J457" s="1">
        <v>16318</v>
      </c>
      <c r="K457" s="1">
        <v>16318</v>
      </c>
      <c r="L457" s="1" t="s">
        <v>222</v>
      </c>
      <c r="M457" s="1">
        <v>0</v>
      </c>
      <c r="N457" s="1">
        <v>2871.43</v>
      </c>
    </row>
    <row r="458" spans="1:14" x14ac:dyDescent="0.25">
      <c r="A458" s="1">
        <v>1457</v>
      </c>
      <c r="B458" s="1" t="s">
        <v>374</v>
      </c>
      <c r="C458" s="1" t="s">
        <v>239</v>
      </c>
      <c r="D458" s="1" t="s">
        <v>220</v>
      </c>
      <c r="E458" s="1" t="s">
        <v>85</v>
      </c>
      <c r="F458" s="1" t="s">
        <v>225</v>
      </c>
      <c r="G458" s="1" t="s">
        <v>236</v>
      </c>
      <c r="H458" s="1" t="s">
        <v>221</v>
      </c>
      <c r="I458" s="1">
        <v>3</v>
      </c>
      <c r="J458" s="1">
        <v>2085</v>
      </c>
      <c r="K458" s="1">
        <v>6255</v>
      </c>
      <c r="L458" s="1" t="s">
        <v>222</v>
      </c>
      <c r="M458" s="1">
        <v>0</v>
      </c>
      <c r="N458" s="1">
        <v>1148.18</v>
      </c>
    </row>
    <row r="459" spans="1:14" x14ac:dyDescent="0.25">
      <c r="A459" s="1">
        <v>1458</v>
      </c>
      <c r="B459" s="1" t="s">
        <v>374</v>
      </c>
      <c r="C459" s="1" t="s">
        <v>229</v>
      </c>
      <c r="D459" s="1" t="s">
        <v>224</v>
      </c>
      <c r="E459" s="1" t="s">
        <v>233</v>
      </c>
      <c r="F459" s="1" t="s">
        <v>230</v>
      </c>
      <c r="G459" s="1" t="s">
        <v>241</v>
      </c>
      <c r="H459" s="1" t="s">
        <v>221</v>
      </c>
      <c r="I459" s="1">
        <v>5</v>
      </c>
      <c r="J459" s="1">
        <v>1293</v>
      </c>
      <c r="K459" s="1">
        <v>6465</v>
      </c>
      <c r="L459" s="1" t="s">
        <v>222</v>
      </c>
      <c r="M459" s="1">
        <v>0</v>
      </c>
      <c r="N459" s="1">
        <v>1523.37</v>
      </c>
    </row>
    <row r="460" spans="1:14" x14ac:dyDescent="0.25">
      <c r="A460" s="1">
        <v>1459</v>
      </c>
      <c r="B460" s="1" t="s">
        <v>374</v>
      </c>
      <c r="C460" s="1" t="s">
        <v>239</v>
      </c>
      <c r="D460" s="1" t="s">
        <v>245</v>
      </c>
      <c r="E460" s="1" t="s">
        <v>124</v>
      </c>
      <c r="F460" s="1" t="s">
        <v>230</v>
      </c>
      <c r="G460" s="1" t="s">
        <v>231</v>
      </c>
      <c r="H460" s="1" t="s">
        <v>221</v>
      </c>
      <c r="I460" s="1">
        <v>1</v>
      </c>
      <c r="J460" s="1">
        <v>33694</v>
      </c>
      <c r="K460" s="1">
        <v>32009.3</v>
      </c>
      <c r="L460" s="1" t="s">
        <v>240</v>
      </c>
      <c r="M460" s="1">
        <v>5</v>
      </c>
      <c r="N460" s="1">
        <v>6756</v>
      </c>
    </row>
    <row r="461" spans="1:14" x14ac:dyDescent="0.25">
      <c r="A461" s="1">
        <v>1460</v>
      </c>
      <c r="B461" s="1" t="s">
        <v>374</v>
      </c>
      <c r="C461" s="1" t="s">
        <v>239</v>
      </c>
      <c r="D461" s="1" t="s">
        <v>232</v>
      </c>
      <c r="E461" s="1" t="s">
        <v>233</v>
      </c>
      <c r="F461" s="1" t="s">
        <v>230</v>
      </c>
      <c r="G461" s="1" t="s">
        <v>241</v>
      </c>
      <c r="H461" s="1" t="s">
        <v>221</v>
      </c>
      <c r="I461" s="1">
        <v>1</v>
      </c>
      <c r="J461" s="1">
        <v>1731</v>
      </c>
      <c r="K461" s="1">
        <v>1644.45</v>
      </c>
      <c r="L461" s="1" t="s">
        <v>222</v>
      </c>
      <c r="M461" s="1">
        <v>5</v>
      </c>
      <c r="N461" s="1">
        <v>301.88</v>
      </c>
    </row>
    <row r="462" spans="1:14" x14ac:dyDescent="0.25">
      <c r="A462" s="1">
        <v>1461</v>
      </c>
      <c r="B462" s="1" t="s">
        <v>374</v>
      </c>
      <c r="C462" s="1" t="s">
        <v>213</v>
      </c>
      <c r="D462" s="1" t="s">
        <v>245</v>
      </c>
      <c r="E462" s="1" t="s">
        <v>124</v>
      </c>
      <c r="F462" s="1" t="s">
        <v>225</v>
      </c>
      <c r="G462" s="1" t="s">
        <v>236</v>
      </c>
      <c r="H462" s="1" t="s">
        <v>221</v>
      </c>
      <c r="I462" s="1">
        <v>4</v>
      </c>
      <c r="J462" s="1">
        <v>10312</v>
      </c>
      <c r="K462" s="1">
        <v>37123.199999999997</v>
      </c>
      <c r="L462" s="1" t="s">
        <v>240</v>
      </c>
      <c r="M462" s="1">
        <v>10</v>
      </c>
      <c r="N462" s="1">
        <v>3944.01</v>
      </c>
    </row>
    <row r="463" spans="1:14" x14ac:dyDescent="0.25">
      <c r="A463" s="1">
        <v>1462</v>
      </c>
      <c r="B463" s="1" t="s">
        <v>375</v>
      </c>
      <c r="C463" s="1" t="s">
        <v>223</v>
      </c>
      <c r="D463" s="1" t="s">
        <v>232</v>
      </c>
      <c r="E463" s="1" t="s">
        <v>233</v>
      </c>
      <c r="F463" s="1" t="s">
        <v>225</v>
      </c>
      <c r="G463" s="1" t="s">
        <v>236</v>
      </c>
      <c r="H463" s="1" t="s">
        <v>234</v>
      </c>
      <c r="I463" s="1">
        <v>1</v>
      </c>
      <c r="J463" s="1">
        <v>26895</v>
      </c>
      <c r="K463" s="1">
        <v>25550.25</v>
      </c>
      <c r="L463" s="1" t="s">
        <v>218</v>
      </c>
      <c r="M463" s="1">
        <v>5</v>
      </c>
      <c r="N463" s="1">
        <v>6644.58</v>
      </c>
    </row>
    <row r="464" spans="1:14" x14ac:dyDescent="0.25">
      <c r="A464" s="1">
        <v>1463</v>
      </c>
      <c r="B464" s="1" t="s">
        <v>375</v>
      </c>
      <c r="C464" s="1" t="s">
        <v>229</v>
      </c>
      <c r="D464" s="1" t="s">
        <v>245</v>
      </c>
      <c r="E464" s="1" t="s">
        <v>124</v>
      </c>
      <c r="F464" s="1" t="s">
        <v>215</v>
      </c>
      <c r="G464" s="1" t="s">
        <v>244</v>
      </c>
      <c r="H464" s="1" t="s">
        <v>234</v>
      </c>
      <c r="I464" s="1">
        <v>4</v>
      </c>
      <c r="J464" s="1">
        <v>44186</v>
      </c>
      <c r="K464" s="1">
        <v>167906.8</v>
      </c>
      <c r="L464" s="1" t="s">
        <v>227</v>
      </c>
      <c r="M464" s="1">
        <v>5</v>
      </c>
      <c r="N464" s="1">
        <v>48319.9</v>
      </c>
    </row>
    <row r="465" spans="1:14" x14ac:dyDescent="0.25">
      <c r="A465" s="1">
        <v>1464</v>
      </c>
      <c r="B465" s="1" t="s">
        <v>375</v>
      </c>
      <c r="C465" s="1" t="s">
        <v>239</v>
      </c>
      <c r="D465" s="1" t="s">
        <v>214</v>
      </c>
      <c r="E465" s="1" t="s">
        <v>124</v>
      </c>
      <c r="F465" s="1" t="s">
        <v>225</v>
      </c>
      <c r="G465" s="1" t="s">
        <v>248</v>
      </c>
      <c r="H465" s="1" t="s">
        <v>128</v>
      </c>
      <c r="I465" s="1">
        <v>2</v>
      </c>
      <c r="J465" s="1">
        <v>22285</v>
      </c>
      <c r="K465" s="1">
        <v>37884.5</v>
      </c>
      <c r="L465" s="1" t="s">
        <v>227</v>
      </c>
      <c r="M465" s="1">
        <v>15</v>
      </c>
      <c r="N465" s="1">
        <v>8001.07</v>
      </c>
    </row>
    <row r="466" spans="1:14" x14ac:dyDescent="0.25">
      <c r="A466" s="1">
        <v>1465</v>
      </c>
      <c r="B466" s="1" t="s">
        <v>376</v>
      </c>
      <c r="C466" s="1" t="s">
        <v>229</v>
      </c>
      <c r="D466" s="1" t="s">
        <v>214</v>
      </c>
      <c r="E466" s="1" t="s">
        <v>124</v>
      </c>
      <c r="F466" s="1" t="s">
        <v>215</v>
      </c>
      <c r="G466" s="1" t="s">
        <v>244</v>
      </c>
      <c r="H466" s="1" t="s">
        <v>128</v>
      </c>
      <c r="I466" s="1">
        <v>4</v>
      </c>
      <c r="J466" s="1">
        <v>720</v>
      </c>
      <c r="K466" s="1">
        <v>2880</v>
      </c>
      <c r="L466" s="1" t="s">
        <v>227</v>
      </c>
      <c r="M466" s="1">
        <v>0</v>
      </c>
      <c r="N466" s="1">
        <v>794.29</v>
      </c>
    </row>
    <row r="467" spans="1:14" x14ac:dyDescent="0.25">
      <c r="A467" s="1">
        <v>1466</v>
      </c>
      <c r="B467" s="1" t="s">
        <v>376</v>
      </c>
      <c r="C467" s="1" t="s">
        <v>213</v>
      </c>
      <c r="D467" s="1" t="s">
        <v>220</v>
      </c>
      <c r="E467" s="1" t="s">
        <v>85</v>
      </c>
      <c r="F467" s="1" t="s">
        <v>225</v>
      </c>
      <c r="G467" s="1" t="s">
        <v>226</v>
      </c>
      <c r="H467" s="1" t="s">
        <v>128</v>
      </c>
      <c r="I467" s="1">
        <v>2</v>
      </c>
      <c r="J467" s="1">
        <v>20876</v>
      </c>
      <c r="K467" s="1">
        <v>37576.800000000003</v>
      </c>
      <c r="L467" s="1" t="s">
        <v>240</v>
      </c>
      <c r="M467" s="1">
        <v>10</v>
      </c>
      <c r="N467" s="1">
        <v>6963.91</v>
      </c>
    </row>
    <row r="468" spans="1:14" x14ac:dyDescent="0.25">
      <c r="A468" s="1">
        <v>1467</v>
      </c>
      <c r="B468" s="1" t="s">
        <v>376</v>
      </c>
      <c r="C468" s="1" t="s">
        <v>219</v>
      </c>
      <c r="D468" s="1" t="s">
        <v>214</v>
      </c>
      <c r="E468" s="1" t="s">
        <v>124</v>
      </c>
      <c r="F468" s="1" t="s">
        <v>230</v>
      </c>
      <c r="G468" s="1" t="s">
        <v>241</v>
      </c>
      <c r="H468" s="1" t="s">
        <v>217</v>
      </c>
      <c r="I468" s="1">
        <v>2</v>
      </c>
      <c r="J468" s="1">
        <v>31103</v>
      </c>
      <c r="K468" s="1">
        <v>62206</v>
      </c>
      <c r="L468" s="1" t="s">
        <v>222</v>
      </c>
      <c r="M468" s="1">
        <v>0</v>
      </c>
      <c r="N468" s="1">
        <v>8833.58</v>
      </c>
    </row>
    <row r="469" spans="1:14" x14ac:dyDescent="0.25">
      <c r="A469" s="1">
        <v>1468</v>
      </c>
      <c r="B469" s="1" t="s">
        <v>377</v>
      </c>
      <c r="C469" s="1" t="s">
        <v>223</v>
      </c>
      <c r="D469" s="1" t="s">
        <v>214</v>
      </c>
      <c r="E469" s="1" t="s">
        <v>124</v>
      </c>
      <c r="F469" s="1" t="s">
        <v>215</v>
      </c>
      <c r="G469" s="1" t="s">
        <v>246</v>
      </c>
      <c r="H469" s="1" t="s">
        <v>234</v>
      </c>
      <c r="I469" s="1">
        <v>1</v>
      </c>
      <c r="J469" s="1">
        <v>17175</v>
      </c>
      <c r="K469" s="1">
        <v>16316.25</v>
      </c>
      <c r="L469" s="1" t="s">
        <v>240</v>
      </c>
      <c r="M469" s="1">
        <v>5</v>
      </c>
      <c r="N469" s="1">
        <v>2996.59</v>
      </c>
    </row>
    <row r="470" spans="1:14" x14ac:dyDescent="0.25">
      <c r="A470" s="1">
        <v>1469</v>
      </c>
      <c r="B470" s="1" t="s">
        <v>377</v>
      </c>
      <c r="C470" s="1" t="s">
        <v>223</v>
      </c>
      <c r="D470" s="1" t="s">
        <v>214</v>
      </c>
      <c r="E470" s="1" t="s">
        <v>124</v>
      </c>
      <c r="F470" s="1" t="s">
        <v>230</v>
      </c>
      <c r="G470" s="1" t="s">
        <v>241</v>
      </c>
      <c r="H470" s="1" t="s">
        <v>217</v>
      </c>
      <c r="I470" s="1">
        <v>4</v>
      </c>
      <c r="J470" s="1">
        <v>13049</v>
      </c>
      <c r="K470" s="1">
        <v>52196</v>
      </c>
      <c r="L470" s="1" t="s">
        <v>227</v>
      </c>
      <c r="M470" s="1">
        <v>0</v>
      </c>
      <c r="N470" s="1">
        <v>9683.5400000000009</v>
      </c>
    </row>
    <row r="471" spans="1:14" x14ac:dyDescent="0.25">
      <c r="A471" s="1">
        <v>1470</v>
      </c>
      <c r="B471" s="1" t="s">
        <v>377</v>
      </c>
      <c r="C471" s="1" t="s">
        <v>219</v>
      </c>
      <c r="D471" s="1" t="s">
        <v>220</v>
      </c>
      <c r="E471" s="1" t="s">
        <v>85</v>
      </c>
      <c r="F471" s="1" t="s">
        <v>225</v>
      </c>
      <c r="G471" s="1" t="s">
        <v>226</v>
      </c>
      <c r="H471" s="1" t="s">
        <v>221</v>
      </c>
      <c r="I471" s="1">
        <v>3</v>
      </c>
      <c r="J471" s="1">
        <v>31472</v>
      </c>
      <c r="K471" s="1">
        <v>84974.399999999994</v>
      </c>
      <c r="L471" s="1" t="s">
        <v>240</v>
      </c>
      <c r="M471" s="1">
        <v>10</v>
      </c>
      <c r="N471" s="1">
        <v>13940.19</v>
      </c>
    </row>
    <row r="472" spans="1:14" x14ac:dyDescent="0.25">
      <c r="A472" s="1">
        <v>1471</v>
      </c>
      <c r="B472" s="1" t="s">
        <v>377</v>
      </c>
      <c r="C472" s="1" t="s">
        <v>213</v>
      </c>
      <c r="D472" s="1" t="s">
        <v>220</v>
      </c>
      <c r="E472" s="1" t="s">
        <v>85</v>
      </c>
      <c r="F472" s="1" t="s">
        <v>225</v>
      </c>
      <c r="G472" s="1" t="s">
        <v>226</v>
      </c>
      <c r="H472" s="1" t="s">
        <v>221</v>
      </c>
      <c r="I472" s="1">
        <v>3</v>
      </c>
      <c r="J472" s="1">
        <v>22449</v>
      </c>
      <c r="K472" s="1">
        <v>60612.3</v>
      </c>
      <c r="L472" s="1" t="s">
        <v>222</v>
      </c>
      <c r="M472" s="1">
        <v>10</v>
      </c>
      <c r="N472" s="1">
        <v>9010.86</v>
      </c>
    </row>
    <row r="473" spans="1:14" x14ac:dyDescent="0.25">
      <c r="A473" s="1">
        <v>1472</v>
      </c>
      <c r="B473" s="1" t="s">
        <v>377</v>
      </c>
      <c r="C473" s="1" t="s">
        <v>239</v>
      </c>
      <c r="D473" s="1" t="s">
        <v>220</v>
      </c>
      <c r="E473" s="1" t="s">
        <v>85</v>
      </c>
      <c r="F473" s="1" t="s">
        <v>225</v>
      </c>
      <c r="G473" s="1" t="s">
        <v>248</v>
      </c>
      <c r="H473" s="1" t="s">
        <v>234</v>
      </c>
      <c r="I473" s="1">
        <v>3</v>
      </c>
      <c r="J473" s="1">
        <v>17800</v>
      </c>
      <c r="K473" s="1">
        <v>45390</v>
      </c>
      <c r="L473" s="1" t="s">
        <v>240</v>
      </c>
      <c r="M473" s="1">
        <v>15</v>
      </c>
      <c r="N473" s="1">
        <v>5868.95</v>
      </c>
    </row>
    <row r="474" spans="1:14" x14ac:dyDescent="0.25">
      <c r="A474" s="1">
        <v>1473</v>
      </c>
      <c r="B474" s="1" t="s">
        <v>378</v>
      </c>
      <c r="C474" s="1" t="s">
        <v>223</v>
      </c>
      <c r="D474" s="1" t="s">
        <v>220</v>
      </c>
      <c r="E474" s="1" t="s">
        <v>85</v>
      </c>
      <c r="F474" s="1" t="s">
        <v>230</v>
      </c>
      <c r="G474" s="1" t="s">
        <v>242</v>
      </c>
      <c r="H474" s="1" t="s">
        <v>217</v>
      </c>
      <c r="I474" s="1">
        <v>2</v>
      </c>
      <c r="J474" s="1">
        <v>48799</v>
      </c>
      <c r="K474" s="1">
        <v>92718.1</v>
      </c>
      <c r="L474" s="1" t="s">
        <v>222</v>
      </c>
      <c r="M474" s="1">
        <v>5</v>
      </c>
      <c r="N474" s="1">
        <v>23357.9</v>
      </c>
    </row>
    <row r="475" spans="1:14" x14ac:dyDescent="0.25">
      <c r="A475" s="1">
        <v>1474</v>
      </c>
      <c r="B475" s="1" t="s">
        <v>378</v>
      </c>
      <c r="C475" s="1" t="s">
        <v>213</v>
      </c>
      <c r="D475" s="1" t="s">
        <v>245</v>
      </c>
      <c r="E475" s="1" t="s">
        <v>124</v>
      </c>
      <c r="F475" s="1" t="s">
        <v>215</v>
      </c>
      <c r="G475" s="1" t="s">
        <v>216</v>
      </c>
      <c r="H475" s="1" t="s">
        <v>234</v>
      </c>
      <c r="I475" s="1">
        <v>4</v>
      </c>
      <c r="J475" s="1">
        <v>25190</v>
      </c>
      <c r="K475" s="1">
        <v>95722</v>
      </c>
      <c r="L475" s="1" t="s">
        <v>218</v>
      </c>
      <c r="M475" s="1">
        <v>5</v>
      </c>
      <c r="N475" s="1">
        <v>11312.53</v>
      </c>
    </row>
    <row r="476" spans="1:14" x14ac:dyDescent="0.25">
      <c r="A476" s="1">
        <v>1475</v>
      </c>
      <c r="B476" s="1" t="s">
        <v>378</v>
      </c>
      <c r="C476" s="1" t="s">
        <v>219</v>
      </c>
      <c r="D476" s="1" t="s">
        <v>224</v>
      </c>
      <c r="E476" s="1" t="s">
        <v>233</v>
      </c>
      <c r="F476" s="1" t="s">
        <v>225</v>
      </c>
      <c r="G476" s="1" t="s">
        <v>226</v>
      </c>
      <c r="H476" s="1" t="s">
        <v>217</v>
      </c>
      <c r="I476" s="1">
        <v>3</v>
      </c>
      <c r="J476" s="1">
        <v>6198</v>
      </c>
      <c r="K476" s="1">
        <v>18594</v>
      </c>
      <c r="L476" s="1" t="s">
        <v>227</v>
      </c>
      <c r="M476" s="1">
        <v>0</v>
      </c>
      <c r="N476" s="1">
        <v>2101.15</v>
      </c>
    </row>
    <row r="477" spans="1:14" x14ac:dyDescent="0.25">
      <c r="A477" s="1">
        <v>1476</v>
      </c>
      <c r="B477" s="1" t="s">
        <v>379</v>
      </c>
      <c r="C477" s="1" t="s">
        <v>219</v>
      </c>
      <c r="D477" s="1" t="s">
        <v>224</v>
      </c>
      <c r="E477" s="1" t="s">
        <v>233</v>
      </c>
      <c r="F477" s="1" t="s">
        <v>225</v>
      </c>
      <c r="G477" s="1" t="s">
        <v>236</v>
      </c>
      <c r="H477" s="1" t="s">
        <v>234</v>
      </c>
      <c r="I477" s="1">
        <v>3</v>
      </c>
      <c r="J477" s="1">
        <v>39921</v>
      </c>
      <c r="K477" s="1">
        <v>119763</v>
      </c>
      <c r="L477" s="1" t="s">
        <v>240</v>
      </c>
      <c r="M477" s="1">
        <v>0</v>
      </c>
      <c r="N477" s="1">
        <v>19875.849999999999</v>
      </c>
    </row>
    <row r="478" spans="1:14" x14ac:dyDescent="0.25">
      <c r="A478" s="1">
        <v>1477</v>
      </c>
      <c r="B478" s="1" t="s">
        <v>379</v>
      </c>
      <c r="C478" s="1" t="s">
        <v>219</v>
      </c>
      <c r="D478" s="1" t="s">
        <v>220</v>
      </c>
      <c r="E478" s="1" t="s">
        <v>85</v>
      </c>
      <c r="F478" s="1" t="s">
        <v>225</v>
      </c>
      <c r="G478" s="1" t="s">
        <v>226</v>
      </c>
      <c r="H478" s="1" t="s">
        <v>128</v>
      </c>
      <c r="I478" s="1">
        <v>5</v>
      </c>
      <c r="J478" s="1">
        <v>12982</v>
      </c>
      <c r="K478" s="1">
        <v>64910</v>
      </c>
      <c r="L478" s="1" t="s">
        <v>240</v>
      </c>
      <c r="M478" s="1">
        <v>0</v>
      </c>
      <c r="N478" s="1">
        <v>11839.65</v>
      </c>
    </row>
    <row r="479" spans="1:14" x14ac:dyDescent="0.25">
      <c r="A479" s="1">
        <v>1478</v>
      </c>
      <c r="B479" s="1" t="s">
        <v>379</v>
      </c>
      <c r="C479" s="1" t="s">
        <v>229</v>
      </c>
      <c r="D479" s="1" t="s">
        <v>245</v>
      </c>
      <c r="E479" s="1" t="s">
        <v>124</v>
      </c>
      <c r="F479" s="1" t="s">
        <v>215</v>
      </c>
      <c r="G479" s="1" t="s">
        <v>216</v>
      </c>
      <c r="H479" s="1" t="s">
        <v>221</v>
      </c>
      <c r="I479" s="1">
        <v>2</v>
      </c>
      <c r="J479" s="1">
        <v>20670</v>
      </c>
      <c r="K479" s="1">
        <v>35139</v>
      </c>
      <c r="L479" s="1" t="s">
        <v>218</v>
      </c>
      <c r="M479" s="1">
        <v>15</v>
      </c>
      <c r="N479" s="1">
        <v>3653.73</v>
      </c>
    </row>
    <row r="480" spans="1:14" x14ac:dyDescent="0.25">
      <c r="A480" s="1">
        <v>1479</v>
      </c>
      <c r="B480" s="1" t="s">
        <v>380</v>
      </c>
      <c r="C480" s="1" t="s">
        <v>229</v>
      </c>
      <c r="D480" s="1" t="s">
        <v>245</v>
      </c>
      <c r="E480" s="1" t="s">
        <v>124</v>
      </c>
      <c r="F480" s="1" t="s">
        <v>225</v>
      </c>
      <c r="G480" s="1" t="s">
        <v>236</v>
      </c>
      <c r="H480" s="1" t="s">
        <v>234</v>
      </c>
      <c r="I480" s="1">
        <v>1</v>
      </c>
      <c r="J480" s="1">
        <v>47697</v>
      </c>
      <c r="K480" s="1">
        <v>42927.3</v>
      </c>
      <c r="L480" s="1" t="s">
        <v>240</v>
      </c>
      <c r="M480" s="1">
        <v>10</v>
      </c>
      <c r="N480" s="1">
        <v>11013.99</v>
      </c>
    </row>
    <row r="481" spans="1:14" x14ac:dyDescent="0.25">
      <c r="A481" s="1">
        <v>1480</v>
      </c>
      <c r="B481" s="1" t="s">
        <v>380</v>
      </c>
      <c r="C481" s="1" t="s">
        <v>229</v>
      </c>
      <c r="D481" s="1" t="s">
        <v>214</v>
      </c>
      <c r="E481" s="1" t="s">
        <v>124</v>
      </c>
      <c r="F481" s="1" t="s">
        <v>230</v>
      </c>
      <c r="G481" s="1" t="s">
        <v>231</v>
      </c>
      <c r="H481" s="1" t="s">
        <v>234</v>
      </c>
      <c r="I481" s="1">
        <v>3</v>
      </c>
      <c r="J481" s="1">
        <v>31187</v>
      </c>
      <c r="K481" s="1">
        <v>84204.9</v>
      </c>
      <c r="L481" s="1" t="s">
        <v>218</v>
      </c>
      <c r="M481" s="1">
        <v>10</v>
      </c>
      <c r="N481" s="1">
        <v>11848.3</v>
      </c>
    </row>
    <row r="482" spans="1:14" x14ac:dyDescent="0.25">
      <c r="A482" s="1">
        <v>1481</v>
      </c>
      <c r="B482" s="1" t="s">
        <v>380</v>
      </c>
      <c r="C482" s="1" t="s">
        <v>223</v>
      </c>
      <c r="D482" s="1" t="s">
        <v>224</v>
      </c>
      <c r="E482" s="1" t="s">
        <v>233</v>
      </c>
      <c r="F482" s="1" t="s">
        <v>230</v>
      </c>
      <c r="G482" s="1" t="s">
        <v>231</v>
      </c>
      <c r="H482" s="1" t="s">
        <v>221</v>
      </c>
      <c r="I482" s="1">
        <v>4</v>
      </c>
      <c r="J482" s="1">
        <v>14475</v>
      </c>
      <c r="K482" s="1">
        <v>52110</v>
      </c>
      <c r="L482" s="1" t="s">
        <v>227</v>
      </c>
      <c r="M482" s="1">
        <v>10</v>
      </c>
      <c r="N482" s="1">
        <v>14547.04</v>
      </c>
    </row>
    <row r="483" spans="1:14" x14ac:dyDescent="0.25">
      <c r="A483" s="1">
        <v>1482</v>
      </c>
      <c r="B483" s="1" t="s">
        <v>380</v>
      </c>
      <c r="C483" s="1" t="s">
        <v>239</v>
      </c>
      <c r="D483" s="1" t="s">
        <v>245</v>
      </c>
      <c r="E483" s="1" t="s">
        <v>124</v>
      </c>
      <c r="F483" s="1" t="s">
        <v>230</v>
      </c>
      <c r="G483" s="1" t="s">
        <v>241</v>
      </c>
      <c r="H483" s="1" t="s">
        <v>234</v>
      </c>
      <c r="I483" s="1">
        <v>3</v>
      </c>
      <c r="J483" s="1">
        <v>3127</v>
      </c>
      <c r="K483" s="1">
        <v>9381</v>
      </c>
      <c r="L483" s="1" t="s">
        <v>222</v>
      </c>
      <c r="M483" s="1">
        <v>0</v>
      </c>
      <c r="N483" s="1">
        <v>1713.88</v>
      </c>
    </row>
    <row r="484" spans="1:14" x14ac:dyDescent="0.25">
      <c r="A484" s="1">
        <v>1483</v>
      </c>
      <c r="B484" s="1" t="s">
        <v>381</v>
      </c>
      <c r="C484" s="1" t="s">
        <v>223</v>
      </c>
      <c r="D484" s="1" t="s">
        <v>220</v>
      </c>
      <c r="E484" s="1" t="s">
        <v>85</v>
      </c>
      <c r="F484" s="1" t="s">
        <v>230</v>
      </c>
      <c r="G484" s="1" t="s">
        <v>242</v>
      </c>
      <c r="H484" s="1" t="s">
        <v>217</v>
      </c>
      <c r="I484" s="1">
        <v>2</v>
      </c>
      <c r="J484" s="1">
        <v>32697</v>
      </c>
      <c r="K484" s="1">
        <v>55584.9</v>
      </c>
      <c r="L484" s="1" t="s">
        <v>240</v>
      </c>
      <c r="M484" s="1">
        <v>15</v>
      </c>
      <c r="N484" s="1">
        <v>14445.56</v>
      </c>
    </row>
    <row r="485" spans="1:14" x14ac:dyDescent="0.25">
      <c r="A485" s="1">
        <v>1484</v>
      </c>
      <c r="B485" s="1" t="s">
        <v>381</v>
      </c>
      <c r="C485" s="1" t="s">
        <v>229</v>
      </c>
      <c r="D485" s="1" t="s">
        <v>224</v>
      </c>
      <c r="E485" s="1" t="s">
        <v>233</v>
      </c>
      <c r="F485" s="1" t="s">
        <v>230</v>
      </c>
      <c r="G485" s="1" t="s">
        <v>231</v>
      </c>
      <c r="H485" s="1" t="s">
        <v>221</v>
      </c>
      <c r="I485" s="1">
        <v>1</v>
      </c>
      <c r="J485" s="1">
        <v>44561</v>
      </c>
      <c r="K485" s="1">
        <v>44561</v>
      </c>
      <c r="L485" s="1" t="s">
        <v>218</v>
      </c>
      <c r="M485" s="1">
        <v>0</v>
      </c>
      <c r="N485" s="1">
        <v>4581.1899999999996</v>
      </c>
    </row>
    <row r="486" spans="1:14" x14ac:dyDescent="0.25">
      <c r="A486" s="1">
        <v>1485</v>
      </c>
      <c r="B486" s="1" t="s">
        <v>382</v>
      </c>
      <c r="C486" s="1" t="s">
        <v>213</v>
      </c>
      <c r="D486" s="1" t="s">
        <v>220</v>
      </c>
      <c r="E486" s="1" t="s">
        <v>85</v>
      </c>
      <c r="F486" s="1" t="s">
        <v>225</v>
      </c>
      <c r="G486" s="1" t="s">
        <v>248</v>
      </c>
      <c r="H486" s="1" t="s">
        <v>128</v>
      </c>
      <c r="I486" s="1">
        <v>4</v>
      </c>
      <c r="J486" s="1">
        <v>19496</v>
      </c>
      <c r="K486" s="1">
        <v>77984</v>
      </c>
      <c r="L486" s="1" t="s">
        <v>227</v>
      </c>
      <c r="M486" s="1">
        <v>0</v>
      </c>
      <c r="N486" s="1">
        <v>21766.67</v>
      </c>
    </row>
    <row r="487" spans="1:14" x14ac:dyDescent="0.25">
      <c r="A487" s="1">
        <v>1486</v>
      </c>
      <c r="B487" s="1" t="s">
        <v>382</v>
      </c>
      <c r="C487" s="1" t="s">
        <v>223</v>
      </c>
      <c r="D487" s="1" t="s">
        <v>245</v>
      </c>
      <c r="E487" s="1" t="s">
        <v>124</v>
      </c>
      <c r="F487" s="1" t="s">
        <v>215</v>
      </c>
      <c r="G487" s="1" t="s">
        <v>244</v>
      </c>
      <c r="H487" s="1" t="s">
        <v>217</v>
      </c>
      <c r="I487" s="1">
        <v>2</v>
      </c>
      <c r="J487" s="1">
        <v>29309</v>
      </c>
      <c r="K487" s="1">
        <v>49825.3</v>
      </c>
      <c r="L487" s="1" t="s">
        <v>222</v>
      </c>
      <c r="M487" s="1">
        <v>15</v>
      </c>
      <c r="N487" s="1">
        <v>9485.61</v>
      </c>
    </row>
    <row r="488" spans="1:14" x14ac:dyDescent="0.25">
      <c r="A488" s="1">
        <v>1487</v>
      </c>
      <c r="B488" s="1" t="s">
        <v>382</v>
      </c>
      <c r="C488" s="1" t="s">
        <v>213</v>
      </c>
      <c r="D488" s="1" t="s">
        <v>220</v>
      </c>
      <c r="E488" s="1" t="s">
        <v>85</v>
      </c>
      <c r="F488" s="1" t="s">
        <v>215</v>
      </c>
      <c r="G488" s="1" t="s">
        <v>246</v>
      </c>
      <c r="H488" s="1" t="s">
        <v>217</v>
      </c>
      <c r="I488" s="1">
        <v>1</v>
      </c>
      <c r="J488" s="1">
        <v>25054</v>
      </c>
      <c r="K488" s="1">
        <v>25054</v>
      </c>
      <c r="L488" s="1" t="s">
        <v>222</v>
      </c>
      <c r="M488" s="1">
        <v>0</v>
      </c>
      <c r="N488" s="1">
        <v>5399.52</v>
      </c>
    </row>
    <row r="489" spans="1:14" x14ac:dyDescent="0.25">
      <c r="A489" s="1">
        <v>1488</v>
      </c>
      <c r="B489" s="1" t="s">
        <v>382</v>
      </c>
      <c r="C489" s="1" t="s">
        <v>223</v>
      </c>
      <c r="D489" s="1" t="s">
        <v>245</v>
      </c>
      <c r="E489" s="1" t="s">
        <v>124</v>
      </c>
      <c r="F489" s="1" t="s">
        <v>225</v>
      </c>
      <c r="G489" s="1" t="s">
        <v>236</v>
      </c>
      <c r="H489" s="1" t="s">
        <v>221</v>
      </c>
      <c r="I489" s="1">
        <v>3</v>
      </c>
      <c r="J489" s="1">
        <v>42912</v>
      </c>
      <c r="K489" s="1">
        <v>128736</v>
      </c>
      <c r="L489" s="1" t="s">
        <v>218</v>
      </c>
      <c r="M489" s="1">
        <v>0</v>
      </c>
      <c r="N489" s="1">
        <v>24880.77</v>
      </c>
    </row>
    <row r="490" spans="1:14" x14ac:dyDescent="0.25">
      <c r="A490" s="1">
        <v>1489</v>
      </c>
      <c r="B490" s="1" t="s">
        <v>382</v>
      </c>
      <c r="C490" s="1" t="s">
        <v>219</v>
      </c>
      <c r="D490" s="1" t="s">
        <v>220</v>
      </c>
      <c r="E490" s="1" t="s">
        <v>85</v>
      </c>
      <c r="F490" s="1" t="s">
        <v>215</v>
      </c>
      <c r="G490" s="1" t="s">
        <v>244</v>
      </c>
      <c r="H490" s="1" t="s">
        <v>234</v>
      </c>
      <c r="I490" s="1">
        <v>2</v>
      </c>
      <c r="J490" s="1">
        <v>45689</v>
      </c>
      <c r="K490" s="1">
        <v>77671.3</v>
      </c>
      <c r="L490" s="1" t="s">
        <v>227</v>
      </c>
      <c r="M490" s="1">
        <v>15</v>
      </c>
      <c r="N490" s="1">
        <v>18349.61</v>
      </c>
    </row>
    <row r="491" spans="1:14" x14ac:dyDescent="0.25">
      <c r="A491" s="1">
        <v>1490</v>
      </c>
      <c r="B491" s="1" t="s">
        <v>383</v>
      </c>
      <c r="C491" s="1" t="s">
        <v>223</v>
      </c>
      <c r="D491" s="1" t="s">
        <v>245</v>
      </c>
      <c r="E491" s="1" t="s">
        <v>124</v>
      </c>
      <c r="F491" s="1" t="s">
        <v>225</v>
      </c>
      <c r="G491" s="1" t="s">
        <v>248</v>
      </c>
      <c r="H491" s="1" t="s">
        <v>234</v>
      </c>
      <c r="I491" s="1">
        <v>5</v>
      </c>
      <c r="J491" s="1">
        <v>18375</v>
      </c>
      <c r="K491" s="1">
        <v>91875</v>
      </c>
      <c r="L491" s="1" t="s">
        <v>218</v>
      </c>
      <c r="M491" s="1">
        <v>0</v>
      </c>
      <c r="N491" s="1">
        <v>25175.59</v>
      </c>
    </row>
    <row r="492" spans="1:14" x14ac:dyDescent="0.25">
      <c r="A492" s="1">
        <v>1491</v>
      </c>
      <c r="B492" s="1" t="s">
        <v>383</v>
      </c>
      <c r="C492" s="1" t="s">
        <v>219</v>
      </c>
      <c r="D492" s="1" t="s">
        <v>224</v>
      </c>
      <c r="E492" s="1" t="s">
        <v>233</v>
      </c>
      <c r="F492" s="1" t="s">
        <v>215</v>
      </c>
      <c r="G492" s="1" t="s">
        <v>216</v>
      </c>
      <c r="H492" s="1" t="s">
        <v>234</v>
      </c>
      <c r="I492" s="1">
        <v>2</v>
      </c>
      <c r="J492" s="1">
        <v>7016</v>
      </c>
      <c r="K492" s="1">
        <v>13330.4</v>
      </c>
      <c r="L492" s="1" t="s">
        <v>240</v>
      </c>
      <c r="M492" s="1">
        <v>5</v>
      </c>
      <c r="N492" s="1">
        <v>1488.41</v>
      </c>
    </row>
    <row r="493" spans="1:14" x14ac:dyDescent="0.25">
      <c r="A493" s="1">
        <v>1492</v>
      </c>
      <c r="B493" s="1" t="s">
        <v>384</v>
      </c>
      <c r="C493" s="1" t="s">
        <v>223</v>
      </c>
      <c r="D493" s="1" t="s">
        <v>220</v>
      </c>
      <c r="E493" s="1" t="s">
        <v>85</v>
      </c>
      <c r="F493" s="1" t="s">
        <v>215</v>
      </c>
      <c r="G493" s="1" t="s">
        <v>216</v>
      </c>
      <c r="H493" s="1" t="s">
        <v>234</v>
      </c>
      <c r="I493" s="1">
        <v>4</v>
      </c>
      <c r="J493" s="1">
        <v>19467</v>
      </c>
      <c r="K493" s="1">
        <v>73974.600000000006</v>
      </c>
      <c r="L493" s="1" t="s">
        <v>240</v>
      </c>
      <c r="M493" s="1">
        <v>5</v>
      </c>
      <c r="N493" s="1">
        <v>16719.37</v>
      </c>
    </row>
    <row r="494" spans="1:14" x14ac:dyDescent="0.25">
      <c r="A494" s="1">
        <v>1493</v>
      </c>
      <c r="B494" s="1" t="s">
        <v>384</v>
      </c>
      <c r="C494" s="1" t="s">
        <v>229</v>
      </c>
      <c r="D494" s="1" t="s">
        <v>220</v>
      </c>
      <c r="E494" s="1" t="s">
        <v>85</v>
      </c>
      <c r="F494" s="1" t="s">
        <v>225</v>
      </c>
      <c r="G494" s="1" t="s">
        <v>226</v>
      </c>
      <c r="H494" s="1" t="s">
        <v>217</v>
      </c>
      <c r="I494" s="1">
        <v>4</v>
      </c>
      <c r="J494" s="1">
        <v>44472</v>
      </c>
      <c r="K494" s="1">
        <v>168993.6</v>
      </c>
      <c r="L494" s="1" t="s">
        <v>227</v>
      </c>
      <c r="M494" s="1">
        <v>5</v>
      </c>
      <c r="N494" s="1">
        <v>36929.4</v>
      </c>
    </row>
    <row r="495" spans="1:14" x14ac:dyDescent="0.25">
      <c r="A495" s="1">
        <v>1494</v>
      </c>
      <c r="B495" s="1" t="s">
        <v>385</v>
      </c>
      <c r="C495" s="1" t="s">
        <v>239</v>
      </c>
      <c r="D495" s="1" t="s">
        <v>232</v>
      </c>
      <c r="E495" s="1" t="s">
        <v>233</v>
      </c>
      <c r="F495" s="1" t="s">
        <v>225</v>
      </c>
      <c r="G495" s="1" t="s">
        <v>248</v>
      </c>
      <c r="H495" s="1" t="s">
        <v>217</v>
      </c>
      <c r="I495" s="1">
        <v>3</v>
      </c>
      <c r="J495" s="1">
        <v>15843</v>
      </c>
      <c r="K495" s="1">
        <v>45152.55</v>
      </c>
      <c r="L495" s="1" t="s">
        <v>240</v>
      </c>
      <c r="M495" s="1">
        <v>5</v>
      </c>
      <c r="N495" s="1">
        <v>10903.57</v>
      </c>
    </row>
    <row r="496" spans="1:14" x14ac:dyDescent="0.25">
      <c r="A496" s="1">
        <v>1495</v>
      </c>
      <c r="B496" s="1" t="s">
        <v>385</v>
      </c>
      <c r="C496" s="1" t="s">
        <v>213</v>
      </c>
      <c r="D496" s="1" t="s">
        <v>214</v>
      </c>
      <c r="E496" s="1" t="s">
        <v>124</v>
      </c>
      <c r="F496" s="1" t="s">
        <v>225</v>
      </c>
      <c r="G496" s="1" t="s">
        <v>236</v>
      </c>
      <c r="H496" s="1" t="s">
        <v>221</v>
      </c>
      <c r="I496" s="1">
        <v>4</v>
      </c>
      <c r="J496" s="1">
        <v>44772</v>
      </c>
      <c r="K496" s="1">
        <v>152224.79999999999</v>
      </c>
      <c r="L496" s="1" t="s">
        <v>222</v>
      </c>
      <c r="M496" s="1">
        <v>15</v>
      </c>
      <c r="N496" s="1">
        <v>20989.439999999999</v>
      </c>
    </row>
    <row r="497" spans="1:14" x14ac:dyDescent="0.25">
      <c r="A497" s="1">
        <v>1496</v>
      </c>
      <c r="B497" s="1" t="s">
        <v>385</v>
      </c>
      <c r="C497" s="1" t="s">
        <v>239</v>
      </c>
      <c r="D497" s="1" t="s">
        <v>224</v>
      </c>
      <c r="E497" s="1" t="s">
        <v>233</v>
      </c>
      <c r="F497" s="1" t="s">
        <v>225</v>
      </c>
      <c r="G497" s="1" t="s">
        <v>226</v>
      </c>
      <c r="H497" s="1" t="s">
        <v>128</v>
      </c>
      <c r="I497" s="1">
        <v>3</v>
      </c>
      <c r="J497" s="1">
        <v>14360</v>
      </c>
      <c r="K497" s="1">
        <v>36618</v>
      </c>
      <c r="L497" s="1" t="s">
        <v>222</v>
      </c>
      <c r="M497" s="1">
        <v>15</v>
      </c>
      <c r="N497" s="1">
        <v>9471.3700000000008</v>
      </c>
    </row>
    <row r="498" spans="1:14" x14ac:dyDescent="0.25">
      <c r="A498" s="1">
        <v>1497</v>
      </c>
      <c r="B498" s="1" t="s">
        <v>386</v>
      </c>
      <c r="C498" s="1" t="s">
        <v>229</v>
      </c>
      <c r="D498" s="1" t="s">
        <v>214</v>
      </c>
      <c r="E498" s="1" t="s">
        <v>124</v>
      </c>
      <c r="F498" s="1" t="s">
        <v>225</v>
      </c>
      <c r="G498" s="1" t="s">
        <v>226</v>
      </c>
      <c r="H498" s="1" t="s">
        <v>221</v>
      </c>
      <c r="I498" s="1">
        <v>5</v>
      </c>
      <c r="J498" s="1">
        <v>37141</v>
      </c>
      <c r="K498" s="1">
        <v>176419.75</v>
      </c>
      <c r="L498" s="1" t="s">
        <v>227</v>
      </c>
      <c r="M498" s="1">
        <v>5</v>
      </c>
      <c r="N498" s="1">
        <v>23322.09</v>
      </c>
    </row>
    <row r="499" spans="1:14" x14ac:dyDescent="0.25">
      <c r="A499" s="1">
        <v>1498</v>
      </c>
      <c r="B499" s="1" t="s">
        <v>386</v>
      </c>
      <c r="C499" s="1" t="s">
        <v>223</v>
      </c>
      <c r="D499" s="1" t="s">
        <v>245</v>
      </c>
      <c r="E499" s="1" t="s">
        <v>124</v>
      </c>
      <c r="F499" s="1" t="s">
        <v>230</v>
      </c>
      <c r="G499" s="1" t="s">
        <v>242</v>
      </c>
      <c r="H499" s="1" t="s">
        <v>128</v>
      </c>
      <c r="I499" s="1">
        <v>5</v>
      </c>
      <c r="J499" s="1">
        <v>11056</v>
      </c>
      <c r="K499" s="1">
        <v>55280</v>
      </c>
      <c r="L499" s="1" t="s">
        <v>227</v>
      </c>
      <c r="M499" s="1">
        <v>0</v>
      </c>
      <c r="N499" s="1">
        <v>6979.73</v>
      </c>
    </row>
    <row r="500" spans="1:14" x14ac:dyDescent="0.25">
      <c r="A500" s="1">
        <v>1499</v>
      </c>
      <c r="B500" s="1" t="s">
        <v>386</v>
      </c>
      <c r="C500" s="1" t="s">
        <v>213</v>
      </c>
      <c r="D500" s="1" t="s">
        <v>220</v>
      </c>
      <c r="E500" s="1" t="s">
        <v>85</v>
      </c>
      <c r="F500" s="1" t="s">
        <v>230</v>
      </c>
      <c r="G500" s="1" t="s">
        <v>231</v>
      </c>
      <c r="H500" s="1" t="s">
        <v>217</v>
      </c>
      <c r="I500" s="1">
        <v>1</v>
      </c>
      <c r="J500" s="1">
        <v>39828</v>
      </c>
      <c r="K500" s="1">
        <v>39828</v>
      </c>
      <c r="L500" s="1" t="s">
        <v>222</v>
      </c>
      <c r="M500" s="1">
        <v>0</v>
      </c>
      <c r="N500" s="1">
        <v>4458.8599999999997</v>
      </c>
    </row>
    <row r="501" spans="1:14" x14ac:dyDescent="0.25">
      <c r="A501" s="1">
        <v>1500</v>
      </c>
      <c r="B501" s="1" t="s">
        <v>387</v>
      </c>
      <c r="C501" s="1" t="s">
        <v>239</v>
      </c>
      <c r="D501" s="1" t="s">
        <v>220</v>
      </c>
      <c r="E501" s="1" t="s">
        <v>85</v>
      </c>
      <c r="F501" s="1" t="s">
        <v>225</v>
      </c>
      <c r="G501" s="1" t="s">
        <v>236</v>
      </c>
      <c r="H501" s="1" t="s">
        <v>221</v>
      </c>
      <c r="I501" s="1">
        <v>5</v>
      </c>
      <c r="J501" s="1">
        <v>35538</v>
      </c>
      <c r="K501" s="1">
        <v>151036.5</v>
      </c>
      <c r="L501" s="1" t="s">
        <v>227</v>
      </c>
      <c r="M501" s="1">
        <v>15</v>
      </c>
      <c r="N501" s="1">
        <v>37558.300000000003</v>
      </c>
    </row>
    <row r="502" spans="1:14" x14ac:dyDescent="0.25">
      <c r="A502" s="1">
        <v>1501</v>
      </c>
      <c r="B502" s="1" t="s">
        <v>387</v>
      </c>
      <c r="C502" s="1" t="s">
        <v>219</v>
      </c>
      <c r="D502" s="1" t="s">
        <v>220</v>
      </c>
      <c r="E502" s="1" t="s">
        <v>85</v>
      </c>
      <c r="F502" s="1" t="s">
        <v>230</v>
      </c>
      <c r="G502" s="1" t="s">
        <v>241</v>
      </c>
      <c r="H502" s="1" t="s">
        <v>217</v>
      </c>
      <c r="I502" s="1">
        <v>5</v>
      </c>
      <c r="J502" s="1">
        <v>26091</v>
      </c>
      <c r="K502" s="1">
        <v>130455</v>
      </c>
      <c r="L502" s="1" t="s">
        <v>227</v>
      </c>
      <c r="M502" s="1">
        <v>0</v>
      </c>
      <c r="N502" s="1">
        <v>33029</v>
      </c>
    </row>
    <row r="503" spans="1:14" x14ac:dyDescent="0.25">
      <c r="A503" s="1">
        <v>1502</v>
      </c>
      <c r="B503" s="1" t="s">
        <v>388</v>
      </c>
      <c r="C503" s="1" t="s">
        <v>239</v>
      </c>
      <c r="D503" s="1" t="s">
        <v>214</v>
      </c>
      <c r="E503" s="1" t="s">
        <v>124</v>
      </c>
      <c r="F503" s="1" t="s">
        <v>215</v>
      </c>
      <c r="G503" s="1" t="s">
        <v>216</v>
      </c>
      <c r="H503" s="1" t="s">
        <v>128</v>
      </c>
      <c r="I503" s="1">
        <v>2</v>
      </c>
      <c r="J503" s="1">
        <v>35391</v>
      </c>
      <c r="K503" s="1">
        <v>60164.7</v>
      </c>
      <c r="L503" s="1" t="s">
        <v>227</v>
      </c>
      <c r="M503" s="1">
        <v>15</v>
      </c>
      <c r="N503" s="1">
        <v>7885.42</v>
      </c>
    </row>
    <row r="504" spans="1:14" x14ac:dyDescent="0.25">
      <c r="A504" s="1">
        <v>1503</v>
      </c>
      <c r="B504" s="1" t="s">
        <v>388</v>
      </c>
      <c r="C504" s="1" t="s">
        <v>219</v>
      </c>
      <c r="D504" s="1" t="s">
        <v>214</v>
      </c>
      <c r="E504" s="1" t="s">
        <v>124</v>
      </c>
      <c r="F504" s="1" t="s">
        <v>215</v>
      </c>
      <c r="G504" s="1" t="s">
        <v>244</v>
      </c>
      <c r="H504" s="1" t="s">
        <v>234</v>
      </c>
      <c r="I504" s="1">
        <v>5</v>
      </c>
      <c r="J504" s="1">
        <v>2591</v>
      </c>
      <c r="K504" s="1">
        <v>12955</v>
      </c>
      <c r="L504" s="1" t="s">
        <v>240</v>
      </c>
      <c r="M504" s="1">
        <v>0</v>
      </c>
      <c r="N504" s="1">
        <v>3866.37</v>
      </c>
    </row>
    <row r="505" spans="1:14" x14ac:dyDescent="0.25">
      <c r="A505" s="1">
        <v>1504</v>
      </c>
      <c r="B505" s="1" t="s">
        <v>388</v>
      </c>
      <c r="C505" s="1" t="s">
        <v>239</v>
      </c>
      <c r="D505" s="1" t="s">
        <v>214</v>
      </c>
      <c r="E505" s="1" t="s">
        <v>124</v>
      </c>
      <c r="F505" s="1" t="s">
        <v>225</v>
      </c>
      <c r="G505" s="1" t="s">
        <v>248</v>
      </c>
      <c r="H505" s="1" t="s">
        <v>234</v>
      </c>
      <c r="I505" s="1">
        <v>1</v>
      </c>
      <c r="J505" s="1">
        <v>37025</v>
      </c>
      <c r="K505" s="1">
        <v>31471.25</v>
      </c>
      <c r="L505" s="1" t="s">
        <v>227</v>
      </c>
      <c r="M505" s="1">
        <v>15</v>
      </c>
      <c r="N505" s="1">
        <v>4712.54</v>
      </c>
    </row>
    <row r="506" spans="1:14" x14ac:dyDescent="0.25">
      <c r="A506" s="1">
        <v>1505</v>
      </c>
      <c r="B506" s="1" t="s">
        <v>388</v>
      </c>
      <c r="C506" s="1" t="s">
        <v>213</v>
      </c>
      <c r="D506" s="1" t="s">
        <v>224</v>
      </c>
      <c r="E506" s="1" t="s">
        <v>233</v>
      </c>
      <c r="F506" s="1" t="s">
        <v>225</v>
      </c>
      <c r="G506" s="1" t="s">
        <v>226</v>
      </c>
      <c r="H506" s="1" t="s">
        <v>234</v>
      </c>
      <c r="I506" s="1">
        <v>3</v>
      </c>
      <c r="J506" s="1">
        <v>29718</v>
      </c>
      <c r="K506" s="1">
        <v>84696.3</v>
      </c>
      <c r="L506" s="1" t="s">
        <v>240</v>
      </c>
      <c r="M506" s="1">
        <v>5</v>
      </c>
      <c r="N506" s="1">
        <v>9605.01</v>
      </c>
    </row>
    <row r="507" spans="1:14" x14ac:dyDescent="0.25">
      <c r="A507" s="1">
        <v>1506</v>
      </c>
      <c r="B507" s="1" t="s">
        <v>389</v>
      </c>
      <c r="C507" s="1" t="s">
        <v>239</v>
      </c>
      <c r="D507" s="1" t="s">
        <v>214</v>
      </c>
      <c r="E507" s="1" t="s">
        <v>124</v>
      </c>
      <c r="F507" s="1" t="s">
        <v>225</v>
      </c>
      <c r="G507" s="1" t="s">
        <v>236</v>
      </c>
      <c r="H507" s="1" t="s">
        <v>217</v>
      </c>
      <c r="I507" s="1">
        <v>4</v>
      </c>
      <c r="J507" s="1">
        <v>47155</v>
      </c>
      <c r="K507" s="1">
        <v>160327</v>
      </c>
      <c r="L507" s="1" t="s">
        <v>240</v>
      </c>
      <c r="M507" s="1">
        <v>15</v>
      </c>
      <c r="N507" s="1">
        <v>25338.07</v>
      </c>
    </row>
    <row r="508" spans="1:14" x14ac:dyDescent="0.25">
      <c r="A508" s="1">
        <v>1507</v>
      </c>
      <c r="B508" s="1" t="s">
        <v>389</v>
      </c>
      <c r="C508" s="1" t="s">
        <v>239</v>
      </c>
      <c r="D508" s="1" t="s">
        <v>214</v>
      </c>
      <c r="E508" s="1" t="s">
        <v>124</v>
      </c>
      <c r="F508" s="1" t="s">
        <v>230</v>
      </c>
      <c r="G508" s="1" t="s">
        <v>231</v>
      </c>
      <c r="H508" s="1" t="s">
        <v>221</v>
      </c>
      <c r="I508" s="1">
        <v>1</v>
      </c>
      <c r="J508" s="1">
        <v>3762</v>
      </c>
      <c r="K508" s="1">
        <v>3197.7</v>
      </c>
      <c r="L508" s="1" t="s">
        <v>218</v>
      </c>
      <c r="M508" s="1">
        <v>15</v>
      </c>
      <c r="N508" s="1">
        <v>561.53</v>
      </c>
    </row>
    <row r="509" spans="1:14" x14ac:dyDescent="0.25">
      <c r="A509" s="1">
        <v>1508</v>
      </c>
      <c r="B509" s="1" t="s">
        <v>389</v>
      </c>
      <c r="C509" s="1" t="s">
        <v>223</v>
      </c>
      <c r="D509" s="1" t="s">
        <v>245</v>
      </c>
      <c r="E509" s="1" t="s">
        <v>124</v>
      </c>
      <c r="F509" s="1" t="s">
        <v>215</v>
      </c>
      <c r="G509" s="1" t="s">
        <v>216</v>
      </c>
      <c r="H509" s="1" t="s">
        <v>221</v>
      </c>
      <c r="I509" s="1">
        <v>5</v>
      </c>
      <c r="J509" s="1">
        <v>25425</v>
      </c>
      <c r="K509" s="1">
        <v>120768.75</v>
      </c>
      <c r="L509" s="1" t="s">
        <v>222</v>
      </c>
      <c r="M509" s="1">
        <v>5</v>
      </c>
      <c r="N509" s="1">
        <v>35790.69</v>
      </c>
    </row>
    <row r="510" spans="1:14" x14ac:dyDescent="0.25">
      <c r="A510" s="1">
        <v>1509</v>
      </c>
      <c r="B510" s="1" t="s">
        <v>390</v>
      </c>
      <c r="C510" s="1" t="s">
        <v>223</v>
      </c>
      <c r="D510" s="1" t="s">
        <v>224</v>
      </c>
      <c r="E510" s="1" t="s">
        <v>233</v>
      </c>
      <c r="F510" s="1" t="s">
        <v>215</v>
      </c>
      <c r="G510" s="1" t="s">
        <v>246</v>
      </c>
      <c r="H510" s="1" t="s">
        <v>217</v>
      </c>
      <c r="I510" s="1">
        <v>4</v>
      </c>
      <c r="J510" s="1">
        <v>13231</v>
      </c>
      <c r="K510" s="1">
        <v>52924</v>
      </c>
      <c r="L510" s="1" t="s">
        <v>218</v>
      </c>
      <c r="M510" s="1">
        <v>0</v>
      </c>
      <c r="N510" s="1">
        <v>15333.98</v>
      </c>
    </row>
    <row r="511" spans="1:14" x14ac:dyDescent="0.25">
      <c r="A511" s="1">
        <v>1510</v>
      </c>
      <c r="B511" s="1" t="s">
        <v>390</v>
      </c>
      <c r="C511" s="1" t="s">
        <v>223</v>
      </c>
      <c r="D511" s="1" t="s">
        <v>245</v>
      </c>
      <c r="E511" s="1" t="s">
        <v>124</v>
      </c>
      <c r="F511" s="1" t="s">
        <v>225</v>
      </c>
      <c r="G511" s="1" t="s">
        <v>226</v>
      </c>
      <c r="H511" s="1" t="s">
        <v>217</v>
      </c>
      <c r="I511" s="1">
        <v>3</v>
      </c>
      <c r="J511" s="1">
        <v>44580</v>
      </c>
      <c r="K511" s="1">
        <v>127053</v>
      </c>
      <c r="L511" s="1" t="s">
        <v>227</v>
      </c>
      <c r="M511" s="1">
        <v>5</v>
      </c>
      <c r="N511" s="1">
        <v>30196.59</v>
      </c>
    </row>
    <row r="512" spans="1:14" x14ac:dyDescent="0.25">
      <c r="A512" s="1">
        <v>1511</v>
      </c>
      <c r="B512" s="1" t="s">
        <v>390</v>
      </c>
      <c r="C512" s="1" t="s">
        <v>239</v>
      </c>
      <c r="D512" s="1" t="s">
        <v>224</v>
      </c>
      <c r="E512" s="1" t="s">
        <v>233</v>
      </c>
      <c r="F512" s="1" t="s">
        <v>225</v>
      </c>
      <c r="G512" s="1" t="s">
        <v>236</v>
      </c>
      <c r="H512" s="1" t="s">
        <v>221</v>
      </c>
      <c r="I512" s="1">
        <v>2</v>
      </c>
      <c r="J512" s="1">
        <v>46714</v>
      </c>
      <c r="K512" s="1">
        <v>84085.2</v>
      </c>
      <c r="L512" s="1" t="s">
        <v>222</v>
      </c>
      <c r="M512" s="1">
        <v>10</v>
      </c>
      <c r="N512" s="1">
        <v>12305.36</v>
      </c>
    </row>
    <row r="513" spans="1:14" x14ac:dyDescent="0.25">
      <c r="A513" s="1">
        <v>1512</v>
      </c>
      <c r="B513" s="1" t="s">
        <v>391</v>
      </c>
      <c r="C513" s="1" t="s">
        <v>219</v>
      </c>
      <c r="D513" s="1" t="s">
        <v>245</v>
      </c>
      <c r="E513" s="1" t="s">
        <v>124</v>
      </c>
      <c r="F513" s="1" t="s">
        <v>215</v>
      </c>
      <c r="G513" s="1" t="s">
        <v>244</v>
      </c>
      <c r="H513" s="1" t="s">
        <v>234</v>
      </c>
      <c r="I513" s="1">
        <v>3</v>
      </c>
      <c r="J513" s="1">
        <v>7966</v>
      </c>
      <c r="K513" s="1">
        <v>21508.2</v>
      </c>
      <c r="L513" s="1" t="s">
        <v>222</v>
      </c>
      <c r="M513" s="1">
        <v>10</v>
      </c>
      <c r="N513" s="1">
        <v>2375.63</v>
      </c>
    </row>
    <row r="514" spans="1:14" x14ac:dyDescent="0.25">
      <c r="A514" s="1">
        <v>1513</v>
      </c>
      <c r="B514" s="1" t="s">
        <v>391</v>
      </c>
      <c r="C514" s="1" t="s">
        <v>229</v>
      </c>
      <c r="D514" s="1" t="s">
        <v>224</v>
      </c>
      <c r="E514" s="1" t="s">
        <v>233</v>
      </c>
      <c r="F514" s="1" t="s">
        <v>230</v>
      </c>
      <c r="G514" s="1" t="s">
        <v>231</v>
      </c>
      <c r="H514" s="1" t="s">
        <v>128</v>
      </c>
      <c r="I514" s="1">
        <v>5</v>
      </c>
      <c r="J514" s="1">
        <v>24763</v>
      </c>
      <c r="K514" s="1">
        <v>111433.5</v>
      </c>
      <c r="L514" s="1" t="s">
        <v>227</v>
      </c>
      <c r="M514" s="1">
        <v>10</v>
      </c>
      <c r="N514" s="1">
        <v>22200.39</v>
      </c>
    </row>
    <row r="515" spans="1:14" x14ac:dyDescent="0.25">
      <c r="A515" s="1">
        <v>1514</v>
      </c>
      <c r="B515" s="1" t="s">
        <v>391</v>
      </c>
      <c r="C515" s="1" t="s">
        <v>223</v>
      </c>
      <c r="D515" s="1" t="s">
        <v>245</v>
      </c>
      <c r="E515" s="1" t="s">
        <v>124</v>
      </c>
      <c r="F515" s="1" t="s">
        <v>215</v>
      </c>
      <c r="G515" s="1" t="s">
        <v>246</v>
      </c>
      <c r="H515" s="1" t="s">
        <v>128</v>
      </c>
      <c r="I515" s="1">
        <v>4</v>
      </c>
      <c r="J515" s="1">
        <v>38817</v>
      </c>
      <c r="K515" s="1">
        <v>139741.20000000001</v>
      </c>
      <c r="L515" s="1" t="s">
        <v>240</v>
      </c>
      <c r="M515" s="1">
        <v>10</v>
      </c>
      <c r="N515" s="1">
        <v>28081.65</v>
      </c>
    </row>
    <row r="516" spans="1:14" x14ac:dyDescent="0.25">
      <c r="A516" s="1">
        <v>1515</v>
      </c>
      <c r="B516" s="1" t="s">
        <v>392</v>
      </c>
      <c r="C516" s="1" t="s">
        <v>213</v>
      </c>
      <c r="D516" s="1" t="s">
        <v>224</v>
      </c>
      <c r="E516" s="1" t="s">
        <v>233</v>
      </c>
      <c r="F516" s="1" t="s">
        <v>225</v>
      </c>
      <c r="G516" s="1" t="s">
        <v>236</v>
      </c>
      <c r="H516" s="1" t="s">
        <v>128</v>
      </c>
      <c r="I516" s="1">
        <v>2</v>
      </c>
      <c r="J516" s="1">
        <v>35184</v>
      </c>
      <c r="K516" s="1">
        <v>63331.199999999997</v>
      </c>
      <c r="L516" s="1" t="s">
        <v>227</v>
      </c>
      <c r="M516" s="1">
        <v>10</v>
      </c>
      <c r="N516" s="1">
        <v>10976.69</v>
      </c>
    </row>
    <row r="517" spans="1:14" x14ac:dyDescent="0.25">
      <c r="A517" s="1">
        <v>1516</v>
      </c>
      <c r="B517" s="1" t="s">
        <v>392</v>
      </c>
      <c r="C517" s="1" t="s">
        <v>223</v>
      </c>
      <c r="D517" s="1" t="s">
        <v>245</v>
      </c>
      <c r="E517" s="1" t="s">
        <v>124</v>
      </c>
      <c r="F517" s="1" t="s">
        <v>230</v>
      </c>
      <c r="G517" s="1" t="s">
        <v>241</v>
      </c>
      <c r="H517" s="1" t="s">
        <v>217</v>
      </c>
      <c r="I517" s="1">
        <v>3</v>
      </c>
      <c r="J517" s="1">
        <v>44763</v>
      </c>
      <c r="K517" s="1">
        <v>127574.55</v>
      </c>
      <c r="L517" s="1" t="s">
        <v>240</v>
      </c>
      <c r="M517" s="1">
        <v>5</v>
      </c>
      <c r="N517" s="1">
        <v>23687.64</v>
      </c>
    </row>
    <row r="518" spans="1:14" x14ac:dyDescent="0.25">
      <c r="A518" s="1">
        <v>1517</v>
      </c>
      <c r="B518" s="1" t="s">
        <v>392</v>
      </c>
      <c r="C518" s="1" t="s">
        <v>219</v>
      </c>
      <c r="D518" s="1" t="s">
        <v>232</v>
      </c>
      <c r="E518" s="1" t="s">
        <v>233</v>
      </c>
      <c r="F518" s="1" t="s">
        <v>215</v>
      </c>
      <c r="G518" s="1" t="s">
        <v>244</v>
      </c>
      <c r="H518" s="1" t="s">
        <v>234</v>
      </c>
      <c r="I518" s="1">
        <v>1</v>
      </c>
      <c r="J518" s="1">
        <v>5796</v>
      </c>
      <c r="K518" s="1">
        <v>5506.2</v>
      </c>
      <c r="L518" s="1" t="s">
        <v>240</v>
      </c>
      <c r="M518" s="1">
        <v>5</v>
      </c>
      <c r="N518" s="1">
        <v>1595.94</v>
      </c>
    </row>
    <row r="519" spans="1:14" x14ac:dyDescent="0.25">
      <c r="A519" s="1">
        <v>1518</v>
      </c>
      <c r="B519" s="1" t="s">
        <v>392</v>
      </c>
      <c r="C519" s="1" t="s">
        <v>213</v>
      </c>
      <c r="D519" s="1" t="s">
        <v>232</v>
      </c>
      <c r="E519" s="1" t="s">
        <v>233</v>
      </c>
      <c r="F519" s="1" t="s">
        <v>225</v>
      </c>
      <c r="G519" s="1" t="s">
        <v>226</v>
      </c>
      <c r="H519" s="1" t="s">
        <v>128</v>
      </c>
      <c r="I519" s="1">
        <v>4</v>
      </c>
      <c r="J519" s="1">
        <v>23339</v>
      </c>
      <c r="K519" s="1">
        <v>93356</v>
      </c>
      <c r="L519" s="1" t="s">
        <v>218</v>
      </c>
      <c r="M519" s="1">
        <v>0</v>
      </c>
      <c r="N519" s="1">
        <v>10579.61</v>
      </c>
    </row>
    <row r="520" spans="1:14" x14ac:dyDescent="0.25">
      <c r="A520" s="1">
        <v>1519</v>
      </c>
      <c r="B520" s="1" t="s">
        <v>392</v>
      </c>
      <c r="C520" s="1" t="s">
        <v>219</v>
      </c>
      <c r="D520" s="1" t="s">
        <v>224</v>
      </c>
      <c r="E520" s="1" t="s">
        <v>233</v>
      </c>
      <c r="F520" s="1" t="s">
        <v>225</v>
      </c>
      <c r="G520" s="1" t="s">
        <v>236</v>
      </c>
      <c r="H520" s="1" t="s">
        <v>217</v>
      </c>
      <c r="I520" s="1">
        <v>2</v>
      </c>
      <c r="J520" s="1">
        <v>45068</v>
      </c>
      <c r="K520" s="1">
        <v>90136</v>
      </c>
      <c r="L520" s="1" t="s">
        <v>227</v>
      </c>
      <c r="M520" s="1">
        <v>0</v>
      </c>
      <c r="N520" s="1">
        <v>11286.8</v>
      </c>
    </row>
    <row r="521" spans="1:14" x14ac:dyDescent="0.25">
      <c r="A521" s="1">
        <v>1520</v>
      </c>
      <c r="B521" s="1" t="s">
        <v>393</v>
      </c>
      <c r="C521" s="1" t="s">
        <v>213</v>
      </c>
      <c r="D521" s="1" t="s">
        <v>224</v>
      </c>
      <c r="E521" s="1" t="s">
        <v>233</v>
      </c>
      <c r="F521" s="1" t="s">
        <v>225</v>
      </c>
      <c r="G521" s="1" t="s">
        <v>236</v>
      </c>
      <c r="H521" s="1" t="s">
        <v>128</v>
      </c>
      <c r="I521" s="1">
        <v>1</v>
      </c>
      <c r="J521" s="1">
        <v>15551</v>
      </c>
      <c r="K521" s="1">
        <v>13995.9</v>
      </c>
      <c r="L521" s="1" t="s">
        <v>222</v>
      </c>
      <c r="M521" s="1">
        <v>10</v>
      </c>
      <c r="N521" s="1">
        <v>2912.27</v>
      </c>
    </row>
    <row r="522" spans="1:14" x14ac:dyDescent="0.25">
      <c r="A522" s="1">
        <v>1521</v>
      </c>
      <c r="B522" s="1" t="s">
        <v>393</v>
      </c>
      <c r="C522" s="1" t="s">
        <v>223</v>
      </c>
      <c r="D522" s="1" t="s">
        <v>220</v>
      </c>
      <c r="E522" s="1" t="s">
        <v>85</v>
      </c>
      <c r="F522" s="1" t="s">
        <v>215</v>
      </c>
      <c r="G522" s="1" t="s">
        <v>244</v>
      </c>
      <c r="H522" s="1" t="s">
        <v>221</v>
      </c>
      <c r="I522" s="1">
        <v>3</v>
      </c>
      <c r="J522" s="1">
        <v>4099</v>
      </c>
      <c r="K522" s="1">
        <v>11067.3</v>
      </c>
      <c r="L522" s="1" t="s">
        <v>222</v>
      </c>
      <c r="M522" s="1">
        <v>10</v>
      </c>
      <c r="N522" s="1">
        <v>1443.41</v>
      </c>
    </row>
    <row r="523" spans="1:14" x14ac:dyDescent="0.25">
      <c r="A523" s="1">
        <v>1522</v>
      </c>
      <c r="B523" s="1" t="s">
        <v>394</v>
      </c>
      <c r="C523" s="1" t="s">
        <v>239</v>
      </c>
      <c r="D523" s="1" t="s">
        <v>224</v>
      </c>
      <c r="E523" s="1" t="s">
        <v>233</v>
      </c>
      <c r="F523" s="1" t="s">
        <v>215</v>
      </c>
      <c r="G523" s="1" t="s">
        <v>216</v>
      </c>
      <c r="H523" s="1" t="s">
        <v>234</v>
      </c>
      <c r="I523" s="1">
        <v>1</v>
      </c>
      <c r="J523" s="1">
        <v>38234</v>
      </c>
      <c r="K523" s="1">
        <v>32498.9</v>
      </c>
      <c r="L523" s="1" t="s">
        <v>227</v>
      </c>
      <c r="M523" s="1">
        <v>15</v>
      </c>
      <c r="N523" s="1">
        <v>7780.16</v>
      </c>
    </row>
    <row r="524" spans="1:14" x14ac:dyDescent="0.25">
      <c r="A524" s="1">
        <v>1523</v>
      </c>
      <c r="B524" s="1" t="s">
        <v>394</v>
      </c>
      <c r="C524" s="1" t="s">
        <v>213</v>
      </c>
      <c r="D524" s="1" t="s">
        <v>220</v>
      </c>
      <c r="E524" s="1" t="s">
        <v>85</v>
      </c>
      <c r="F524" s="1" t="s">
        <v>230</v>
      </c>
      <c r="G524" s="1" t="s">
        <v>241</v>
      </c>
      <c r="H524" s="1" t="s">
        <v>234</v>
      </c>
      <c r="I524" s="1">
        <v>1</v>
      </c>
      <c r="J524" s="1">
        <v>24135</v>
      </c>
      <c r="K524" s="1">
        <v>24135</v>
      </c>
      <c r="L524" s="1" t="s">
        <v>240</v>
      </c>
      <c r="M524" s="1">
        <v>0</v>
      </c>
      <c r="N524" s="1">
        <v>4581.6499999999996</v>
      </c>
    </row>
    <row r="525" spans="1:14" x14ac:dyDescent="0.25">
      <c r="A525" s="1">
        <v>1524</v>
      </c>
      <c r="B525" s="1" t="s">
        <v>394</v>
      </c>
      <c r="C525" s="1" t="s">
        <v>223</v>
      </c>
      <c r="D525" s="1" t="s">
        <v>220</v>
      </c>
      <c r="E525" s="1" t="s">
        <v>85</v>
      </c>
      <c r="F525" s="1" t="s">
        <v>230</v>
      </c>
      <c r="G525" s="1" t="s">
        <v>231</v>
      </c>
      <c r="H525" s="1" t="s">
        <v>234</v>
      </c>
      <c r="I525" s="1">
        <v>2</v>
      </c>
      <c r="J525" s="1">
        <v>11819</v>
      </c>
      <c r="K525" s="1">
        <v>22456.1</v>
      </c>
      <c r="L525" s="1" t="s">
        <v>218</v>
      </c>
      <c r="M525" s="1">
        <v>5</v>
      </c>
      <c r="N525" s="1">
        <v>6697.43</v>
      </c>
    </row>
    <row r="526" spans="1:14" x14ac:dyDescent="0.25">
      <c r="A526" s="1">
        <v>1525</v>
      </c>
      <c r="B526" s="1" t="s">
        <v>394</v>
      </c>
      <c r="C526" s="1" t="s">
        <v>213</v>
      </c>
      <c r="D526" s="1" t="s">
        <v>245</v>
      </c>
      <c r="E526" s="1" t="s">
        <v>124</v>
      </c>
      <c r="F526" s="1" t="s">
        <v>230</v>
      </c>
      <c r="G526" s="1" t="s">
        <v>231</v>
      </c>
      <c r="H526" s="1" t="s">
        <v>221</v>
      </c>
      <c r="I526" s="1">
        <v>4</v>
      </c>
      <c r="J526" s="1">
        <v>9932</v>
      </c>
      <c r="K526" s="1">
        <v>39728</v>
      </c>
      <c r="L526" s="1" t="s">
        <v>240</v>
      </c>
      <c r="M526" s="1">
        <v>0</v>
      </c>
      <c r="N526" s="1">
        <v>7180.57</v>
      </c>
    </row>
    <row r="527" spans="1:14" x14ac:dyDescent="0.25">
      <c r="A527" s="1">
        <v>1526</v>
      </c>
      <c r="B527" s="1" t="s">
        <v>394</v>
      </c>
      <c r="C527" s="1" t="s">
        <v>239</v>
      </c>
      <c r="D527" s="1" t="s">
        <v>224</v>
      </c>
      <c r="E527" s="1" t="s">
        <v>233</v>
      </c>
      <c r="F527" s="1" t="s">
        <v>215</v>
      </c>
      <c r="G527" s="1" t="s">
        <v>246</v>
      </c>
      <c r="H527" s="1" t="s">
        <v>217</v>
      </c>
      <c r="I527" s="1">
        <v>1</v>
      </c>
      <c r="J527" s="1">
        <v>21722</v>
      </c>
      <c r="K527" s="1">
        <v>21722</v>
      </c>
      <c r="L527" s="1" t="s">
        <v>218</v>
      </c>
      <c r="M527" s="1">
        <v>0</v>
      </c>
      <c r="N527" s="1">
        <v>3397.26</v>
      </c>
    </row>
    <row r="528" spans="1:14" x14ac:dyDescent="0.25">
      <c r="A528" s="1">
        <v>1527</v>
      </c>
      <c r="B528" s="1" t="s">
        <v>395</v>
      </c>
      <c r="C528" s="1" t="s">
        <v>239</v>
      </c>
      <c r="D528" s="1" t="s">
        <v>232</v>
      </c>
      <c r="E528" s="1" t="s">
        <v>233</v>
      </c>
      <c r="F528" s="1" t="s">
        <v>230</v>
      </c>
      <c r="G528" s="1" t="s">
        <v>231</v>
      </c>
      <c r="H528" s="1" t="s">
        <v>234</v>
      </c>
      <c r="I528" s="1">
        <v>2</v>
      </c>
      <c r="J528" s="1">
        <v>37812</v>
      </c>
      <c r="K528" s="1">
        <v>68061.600000000006</v>
      </c>
      <c r="L528" s="1" t="s">
        <v>240</v>
      </c>
      <c r="M528" s="1">
        <v>10</v>
      </c>
      <c r="N528" s="1">
        <v>18699.63</v>
      </c>
    </row>
    <row r="529" spans="1:14" x14ac:dyDescent="0.25">
      <c r="A529" s="1">
        <v>1528</v>
      </c>
      <c r="B529" s="1" t="s">
        <v>395</v>
      </c>
      <c r="C529" s="1" t="s">
        <v>219</v>
      </c>
      <c r="D529" s="1" t="s">
        <v>245</v>
      </c>
      <c r="E529" s="1" t="s">
        <v>124</v>
      </c>
      <c r="F529" s="1" t="s">
        <v>230</v>
      </c>
      <c r="G529" s="1" t="s">
        <v>241</v>
      </c>
      <c r="H529" s="1" t="s">
        <v>234</v>
      </c>
      <c r="I529" s="1">
        <v>2</v>
      </c>
      <c r="J529" s="1">
        <v>21269</v>
      </c>
      <c r="K529" s="1">
        <v>36157.300000000003</v>
      </c>
      <c r="L529" s="1" t="s">
        <v>218</v>
      </c>
      <c r="M529" s="1">
        <v>15</v>
      </c>
      <c r="N529" s="1">
        <v>9403.64</v>
      </c>
    </row>
    <row r="530" spans="1:14" x14ac:dyDescent="0.25">
      <c r="A530" s="1">
        <v>1529</v>
      </c>
      <c r="B530" s="1" t="s">
        <v>395</v>
      </c>
      <c r="C530" s="1" t="s">
        <v>219</v>
      </c>
      <c r="D530" s="1" t="s">
        <v>214</v>
      </c>
      <c r="E530" s="1" t="s">
        <v>124</v>
      </c>
      <c r="F530" s="1" t="s">
        <v>225</v>
      </c>
      <c r="G530" s="1" t="s">
        <v>226</v>
      </c>
      <c r="H530" s="1" t="s">
        <v>221</v>
      </c>
      <c r="I530" s="1">
        <v>2</v>
      </c>
      <c r="J530" s="1">
        <v>22920</v>
      </c>
      <c r="K530" s="1">
        <v>45840</v>
      </c>
      <c r="L530" s="1" t="s">
        <v>240</v>
      </c>
      <c r="M530" s="1">
        <v>0</v>
      </c>
      <c r="N530" s="1">
        <v>5131.1099999999997</v>
      </c>
    </row>
    <row r="531" spans="1:14" x14ac:dyDescent="0.25">
      <c r="A531" s="1">
        <v>1530</v>
      </c>
      <c r="B531" s="1" t="s">
        <v>395</v>
      </c>
      <c r="C531" s="1" t="s">
        <v>239</v>
      </c>
      <c r="D531" s="1" t="s">
        <v>245</v>
      </c>
      <c r="E531" s="1" t="s">
        <v>124</v>
      </c>
      <c r="F531" s="1" t="s">
        <v>215</v>
      </c>
      <c r="G531" s="1" t="s">
        <v>216</v>
      </c>
      <c r="H531" s="1" t="s">
        <v>221</v>
      </c>
      <c r="I531" s="1">
        <v>3</v>
      </c>
      <c r="J531" s="1">
        <v>37890</v>
      </c>
      <c r="K531" s="1">
        <v>113670</v>
      </c>
      <c r="L531" s="1" t="s">
        <v>240</v>
      </c>
      <c r="M531" s="1">
        <v>0</v>
      </c>
      <c r="N531" s="1">
        <v>33605.58</v>
      </c>
    </row>
    <row r="532" spans="1:14" x14ac:dyDescent="0.25">
      <c r="A532" s="1">
        <v>1531</v>
      </c>
      <c r="B532" s="1" t="s">
        <v>396</v>
      </c>
      <c r="C532" s="1" t="s">
        <v>213</v>
      </c>
      <c r="D532" s="1" t="s">
        <v>232</v>
      </c>
      <c r="E532" s="1" t="s">
        <v>233</v>
      </c>
      <c r="F532" s="1" t="s">
        <v>225</v>
      </c>
      <c r="G532" s="1" t="s">
        <v>226</v>
      </c>
      <c r="H532" s="1" t="s">
        <v>217</v>
      </c>
      <c r="I532" s="1">
        <v>4</v>
      </c>
      <c r="J532" s="1">
        <v>47985</v>
      </c>
      <c r="K532" s="1">
        <v>182343</v>
      </c>
      <c r="L532" s="1" t="s">
        <v>222</v>
      </c>
      <c r="M532" s="1">
        <v>5</v>
      </c>
      <c r="N532" s="1">
        <v>28951.23</v>
      </c>
    </row>
    <row r="533" spans="1:14" x14ac:dyDescent="0.25">
      <c r="A533" s="1">
        <v>1532</v>
      </c>
      <c r="B533" s="1" t="s">
        <v>396</v>
      </c>
      <c r="C533" s="1" t="s">
        <v>223</v>
      </c>
      <c r="D533" s="1" t="s">
        <v>220</v>
      </c>
      <c r="E533" s="1" t="s">
        <v>85</v>
      </c>
      <c r="F533" s="1" t="s">
        <v>215</v>
      </c>
      <c r="G533" s="1" t="s">
        <v>244</v>
      </c>
      <c r="H533" s="1" t="s">
        <v>234</v>
      </c>
      <c r="I533" s="1">
        <v>5</v>
      </c>
      <c r="J533" s="1">
        <v>8568</v>
      </c>
      <c r="K533" s="1">
        <v>40698</v>
      </c>
      <c r="L533" s="1" t="s">
        <v>240</v>
      </c>
      <c r="M533" s="1">
        <v>5</v>
      </c>
      <c r="N533" s="1">
        <v>11032.65</v>
      </c>
    </row>
    <row r="534" spans="1:14" x14ac:dyDescent="0.25">
      <c r="A534" s="1">
        <v>1533</v>
      </c>
      <c r="B534" s="1" t="s">
        <v>396</v>
      </c>
      <c r="C534" s="1" t="s">
        <v>229</v>
      </c>
      <c r="D534" s="1" t="s">
        <v>245</v>
      </c>
      <c r="E534" s="1" t="s">
        <v>124</v>
      </c>
      <c r="F534" s="1" t="s">
        <v>225</v>
      </c>
      <c r="G534" s="1" t="s">
        <v>248</v>
      </c>
      <c r="H534" s="1" t="s">
        <v>221</v>
      </c>
      <c r="I534" s="1">
        <v>2</v>
      </c>
      <c r="J534" s="1">
        <v>39060</v>
      </c>
      <c r="K534" s="1">
        <v>70308</v>
      </c>
      <c r="L534" s="1" t="s">
        <v>240</v>
      </c>
      <c r="M534" s="1">
        <v>10</v>
      </c>
      <c r="N534" s="1">
        <v>11616.18</v>
      </c>
    </row>
    <row r="535" spans="1:14" x14ac:dyDescent="0.25">
      <c r="A535" s="1">
        <v>1534</v>
      </c>
      <c r="B535" s="1" t="s">
        <v>396</v>
      </c>
      <c r="C535" s="1" t="s">
        <v>229</v>
      </c>
      <c r="D535" s="1" t="s">
        <v>214</v>
      </c>
      <c r="E535" s="1" t="s">
        <v>124</v>
      </c>
      <c r="F535" s="1" t="s">
        <v>230</v>
      </c>
      <c r="G535" s="1" t="s">
        <v>231</v>
      </c>
      <c r="H535" s="1" t="s">
        <v>217</v>
      </c>
      <c r="I535" s="1">
        <v>5</v>
      </c>
      <c r="J535" s="1">
        <v>44519</v>
      </c>
      <c r="K535" s="1">
        <v>211465.25</v>
      </c>
      <c r="L535" s="1" t="s">
        <v>218</v>
      </c>
      <c r="M535" s="1">
        <v>5</v>
      </c>
      <c r="N535" s="1">
        <v>43376.1</v>
      </c>
    </row>
    <row r="536" spans="1:14" x14ac:dyDescent="0.25">
      <c r="A536" s="1">
        <v>1535</v>
      </c>
      <c r="B536" s="1" t="s">
        <v>396</v>
      </c>
      <c r="C536" s="1" t="s">
        <v>223</v>
      </c>
      <c r="D536" s="1" t="s">
        <v>224</v>
      </c>
      <c r="E536" s="1" t="s">
        <v>233</v>
      </c>
      <c r="F536" s="1" t="s">
        <v>230</v>
      </c>
      <c r="G536" s="1" t="s">
        <v>241</v>
      </c>
      <c r="H536" s="1" t="s">
        <v>217</v>
      </c>
      <c r="I536" s="1">
        <v>3</v>
      </c>
      <c r="J536" s="1">
        <v>45872</v>
      </c>
      <c r="K536" s="1">
        <v>130735.2</v>
      </c>
      <c r="L536" s="1" t="s">
        <v>222</v>
      </c>
      <c r="M536" s="1">
        <v>5</v>
      </c>
      <c r="N536" s="1">
        <v>25970.85</v>
      </c>
    </row>
    <row r="537" spans="1:14" x14ac:dyDescent="0.25">
      <c r="A537" s="1">
        <v>1536</v>
      </c>
      <c r="B537" s="1" t="s">
        <v>397</v>
      </c>
      <c r="C537" s="1" t="s">
        <v>223</v>
      </c>
      <c r="D537" s="1" t="s">
        <v>220</v>
      </c>
      <c r="E537" s="1" t="s">
        <v>85</v>
      </c>
      <c r="F537" s="1" t="s">
        <v>230</v>
      </c>
      <c r="G537" s="1" t="s">
        <v>241</v>
      </c>
      <c r="H537" s="1" t="s">
        <v>128</v>
      </c>
      <c r="I537" s="1">
        <v>3</v>
      </c>
      <c r="J537" s="1">
        <v>31587</v>
      </c>
      <c r="K537" s="1">
        <v>85284.9</v>
      </c>
      <c r="L537" s="1" t="s">
        <v>227</v>
      </c>
      <c r="M537" s="1">
        <v>10</v>
      </c>
      <c r="N537" s="1">
        <v>11613.11</v>
      </c>
    </row>
    <row r="538" spans="1:14" x14ac:dyDescent="0.25">
      <c r="A538" s="1">
        <v>1537</v>
      </c>
      <c r="B538" s="1" t="s">
        <v>397</v>
      </c>
      <c r="C538" s="1" t="s">
        <v>223</v>
      </c>
      <c r="D538" s="1" t="s">
        <v>245</v>
      </c>
      <c r="E538" s="1" t="s">
        <v>124</v>
      </c>
      <c r="F538" s="1" t="s">
        <v>225</v>
      </c>
      <c r="G538" s="1" t="s">
        <v>236</v>
      </c>
      <c r="H538" s="1" t="s">
        <v>234</v>
      </c>
      <c r="I538" s="1">
        <v>5</v>
      </c>
      <c r="J538" s="1">
        <v>34577</v>
      </c>
      <c r="K538" s="1">
        <v>172885</v>
      </c>
      <c r="L538" s="1" t="s">
        <v>218</v>
      </c>
      <c r="M538" s="1">
        <v>0</v>
      </c>
      <c r="N538" s="1">
        <v>31178.11</v>
      </c>
    </row>
    <row r="539" spans="1:14" x14ac:dyDescent="0.25">
      <c r="A539" s="1">
        <v>1538</v>
      </c>
      <c r="B539" s="1" t="s">
        <v>397</v>
      </c>
      <c r="C539" s="1" t="s">
        <v>239</v>
      </c>
      <c r="D539" s="1" t="s">
        <v>224</v>
      </c>
      <c r="E539" s="1" t="s">
        <v>233</v>
      </c>
      <c r="F539" s="1" t="s">
        <v>230</v>
      </c>
      <c r="G539" s="1" t="s">
        <v>241</v>
      </c>
      <c r="H539" s="1" t="s">
        <v>221</v>
      </c>
      <c r="I539" s="1">
        <v>4</v>
      </c>
      <c r="J539" s="1">
        <v>48402</v>
      </c>
      <c r="K539" s="1">
        <v>174247.2</v>
      </c>
      <c r="L539" s="1" t="s">
        <v>222</v>
      </c>
      <c r="M539" s="1">
        <v>10</v>
      </c>
      <c r="N539" s="1">
        <v>50108.35</v>
      </c>
    </row>
    <row r="540" spans="1:14" x14ac:dyDescent="0.25">
      <c r="A540" s="1">
        <v>1539</v>
      </c>
      <c r="B540" s="1" t="s">
        <v>398</v>
      </c>
      <c r="C540" s="1" t="s">
        <v>223</v>
      </c>
      <c r="D540" s="1" t="s">
        <v>214</v>
      </c>
      <c r="E540" s="1" t="s">
        <v>124</v>
      </c>
      <c r="F540" s="1" t="s">
        <v>215</v>
      </c>
      <c r="G540" s="1" t="s">
        <v>244</v>
      </c>
      <c r="H540" s="1" t="s">
        <v>221</v>
      </c>
      <c r="I540" s="1">
        <v>3</v>
      </c>
      <c r="J540" s="1">
        <v>15211</v>
      </c>
      <c r="K540" s="1">
        <v>38788.050000000003</v>
      </c>
      <c r="L540" s="1" t="s">
        <v>222</v>
      </c>
      <c r="M540" s="1">
        <v>15</v>
      </c>
      <c r="N540" s="1">
        <v>10973.57</v>
      </c>
    </row>
    <row r="541" spans="1:14" x14ac:dyDescent="0.25">
      <c r="A541" s="1">
        <v>1540</v>
      </c>
      <c r="B541" s="1" t="s">
        <v>398</v>
      </c>
      <c r="C541" s="1" t="s">
        <v>219</v>
      </c>
      <c r="D541" s="1" t="s">
        <v>245</v>
      </c>
      <c r="E541" s="1" t="s">
        <v>124</v>
      </c>
      <c r="F541" s="1" t="s">
        <v>225</v>
      </c>
      <c r="G541" s="1" t="s">
        <v>248</v>
      </c>
      <c r="H541" s="1" t="s">
        <v>128</v>
      </c>
      <c r="I541" s="1">
        <v>4</v>
      </c>
      <c r="J541" s="1">
        <v>21979</v>
      </c>
      <c r="K541" s="1">
        <v>83520.2</v>
      </c>
      <c r="L541" s="1" t="s">
        <v>227</v>
      </c>
      <c r="M541" s="1">
        <v>5</v>
      </c>
      <c r="N541" s="1">
        <v>19329.939999999999</v>
      </c>
    </row>
    <row r="542" spans="1:14" x14ac:dyDescent="0.25">
      <c r="A542" s="1">
        <v>1541</v>
      </c>
      <c r="B542" s="1" t="s">
        <v>398</v>
      </c>
      <c r="C542" s="1" t="s">
        <v>229</v>
      </c>
      <c r="D542" s="1" t="s">
        <v>245</v>
      </c>
      <c r="E542" s="1" t="s">
        <v>124</v>
      </c>
      <c r="F542" s="1" t="s">
        <v>230</v>
      </c>
      <c r="G542" s="1" t="s">
        <v>242</v>
      </c>
      <c r="H542" s="1" t="s">
        <v>217</v>
      </c>
      <c r="I542" s="1">
        <v>3</v>
      </c>
      <c r="J542" s="1">
        <v>13211</v>
      </c>
      <c r="K542" s="1">
        <v>39633</v>
      </c>
      <c r="L542" s="1" t="s">
        <v>218</v>
      </c>
      <c r="M542" s="1">
        <v>0</v>
      </c>
      <c r="N542" s="1">
        <v>4996.1000000000004</v>
      </c>
    </row>
    <row r="543" spans="1:14" x14ac:dyDescent="0.25">
      <c r="A543" s="1">
        <v>1542</v>
      </c>
      <c r="B543" s="1" t="s">
        <v>399</v>
      </c>
      <c r="C543" s="1" t="s">
        <v>239</v>
      </c>
      <c r="D543" s="1" t="s">
        <v>224</v>
      </c>
      <c r="E543" s="1" t="s">
        <v>233</v>
      </c>
      <c r="F543" s="1" t="s">
        <v>230</v>
      </c>
      <c r="G543" s="1" t="s">
        <v>242</v>
      </c>
      <c r="H543" s="1" t="s">
        <v>221</v>
      </c>
      <c r="I543" s="1">
        <v>1</v>
      </c>
      <c r="J543" s="1">
        <v>12901</v>
      </c>
      <c r="K543" s="1">
        <v>12901</v>
      </c>
      <c r="L543" s="1" t="s">
        <v>227</v>
      </c>
      <c r="M543" s="1">
        <v>0</v>
      </c>
      <c r="N543" s="1">
        <v>2409.35</v>
      </c>
    </row>
    <row r="544" spans="1:14" x14ac:dyDescent="0.25">
      <c r="A544" s="1">
        <v>1543</v>
      </c>
      <c r="B544" s="1" t="s">
        <v>399</v>
      </c>
      <c r="C544" s="1" t="s">
        <v>223</v>
      </c>
      <c r="D544" s="1" t="s">
        <v>224</v>
      </c>
      <c r="E544" s="1" t="s">
        <v>233</v>
      </c>
      <c r="F544" s="1" t="s">
        <v>230</v>
      </c>
      <c r="G544" s="1" t="s">
        <v>241</v>
      </c>
      <c r="H544" s="1" t="s">
        <v>128</v>
      </c>
      <c r="I544" s="1">
        <v>2</v>
      </c>
      <c r="J544" s="1">
        <v>24752</v>
      </c>
      <c r="K544" s="1">
        <v>49504</v>
      </c>
      <c r="L544" s="1" t="s">
        <v>218</v>
      </c>
      <c r="M544" s="1">
        <v>0</v>
      </c>
      <c r="N544" s="1">
        <v>5648.83</v>
      </c>
    </row>
    <row r="545" spans="1:14" x14ac:dyDescent="0.25">
      <c r="A545" s="1">
        <v>1544</v>
      </c>
      <c r="B545" s="1" t="s">
        <v>399</v>
      </c>
      <c r="C545" s="1" t="s">
        <v>229</v>
      </c>
      <c r="D545" s="1" t="s">
        <v>214</v>
      </c>
      <c r="E545" s="1" t="s">
        <v>124</v>
      </c>
      <c r="F545" s="1" t="s">
        <v>230</v>
      </c>
      <c r="G545" s="1" t="s">
        <v>241</v>
      </c>
      <c r="H545" s="1" t="s">
        <v>234</v>
      </c>
      <c r="I545" s="1">
        <v>2</v>
      </c>
      <c r="J545" s="1">
        <v>5409</v>
      </c>
      <c r="K545" s="1">
        <v>10277.1</v>
      </c>
      <c r="L545" s="1" t="s">
        <v>227</v>
      </c>
      <c r="M545" s="1">
        <v>5</v>
      </c>
      <c r="N545" s="1">
        <v>2200.9499999999998</v>
      </c>
    </row>
    <row r="546" spans="1:14" x14ac:dyDescent="0.25">
      <c r="A546" s="1">
        <v>1545</v>
      </c>
      <c r="B546" s="1" t="s">
        <v>399</v>
      </c>
      <c r="C546" s="1" t="s">
        <v>229</v>
      </c>
      <c r="D546" s="1" t="s">
        <v>214</v>
      </c>
      <c r="E546" s="1" t="s">
        <v>124</v>
      </c>
      <c r="F546" s="1" t="s">
        <v>225</v>
      </c>
      <c r="G546" s="1" t="s">
        <v>248</v>
      </c>
      <c r="H546" s="1" t="s">
        <v>221</v>
      </c>
      <c r="I546" s="1">
        <v>5</v>
      </c>
      <c r="J546" s="1">
        <v>20920</v>
      </c>
      <c r="K546" s="1">
        <v>94140</v>
      </c>
      <c r="L546" s="1" t="s">
        <v>240</v>
      </c>
      <c r="M546" s="1">
        <v>10</v>
      </c>
      <c r="N546" s="1">
        <v>15439.96</v>
      </c>
    </row>
    <row r="547" spans="1:14" x14ac:dyDescent="0.25">
      <c r="A547" s="1">
        <v>1546</v>
      </c>
      <c r="B547" s="1" t="s">
        <v>399</v>
      </c>
      <c r="C547" s="1" t="s">
        <v>219</v>
      </c>
      <c r="D547" s="1" t="s">
        <v>232</v>
      </c>
      <c r="E547" s="1" t="s">
        <v>233</v>
      </c>
      <c r="F547" s="1" t="s">
        <v>230</v>
      </c>
      <c r="G547" s="1" t="s">
        <v>242</v>
      </c>
      <c r="H547" s="1" t="s">
        <v>128</v>
      </c>
      <c r="I547" s="1">
        <v>1</v>
      </c>
      <c r="J547" s="1">
        <v>47035</v>
      </c>
      <c r="K547" s="1">
        <v>39979.75</v>
      </c>
      <c r="L547" s="1" t="s">
        <v>240</v>
      </c>
      <c r="M547" s="1">
        <v>15</v>
      </c>
      <c r="N547" s="1">
        <v>11224.96</v>
      </c>
    </row>
    <row r="548" spans="1:14" x14ac:dyDescent="0.25">
      <c r="A548" s="1">
        <v>1547</v>
      </c>
      <c r="B548" s="1" t="s">
        <v>400</v>
      </c>
      <c r="C548" s="1" t="s">
        <v>223</v>
      </c>
      <c r="D548" s="1" t="s">
        <v>232</v>
      </c>
      <c r="E548" s="1" t="s">
        <v>233</v>
      </c>
      <c r="F548" s="1" t="s">
        <v>215</v>
      </c>
      <c r="G548" s="1" t="s">
        <v>244</v>
      </c>
      <c r="H548" s="1" t="s">
        <v>217</v>
      </c>
      <c r="I548" s="1">
        <v>2</v>
      </c>
      <c r="J548" s="1">
        <v>41822</v>
      </c>
      <c r="K548" s="1">
        <v>75279.600000000006</v>
      </c>
      <c r="L548" s="1" t="s">
        <v>240</v>
      </c>
      <c r="M548" s="1">
        <v>10</v>
      </c>
      <c r="N548" s="1">
        <v>21356.04</v>
      </c>
    </row>
    <row r="549" spans="1:14" x14ac:dyDescent="0.25">
      <c r="A549" s="1">
        <v>1548</v>
      </c>
      <c r="B549" s="1" t="s">
        <v>400</v>
      </c>
      <c r="C549" s="1" t="s">
        <v>223</v>
      </c>
      <c r="D549" s="1" t="s">
        <v>224</v>
      </c>
      <c r="E549" s="1" t="s">
        <v>233</v>
      </c>
      <c r="F549" s="1" t="s">
        <v>230</v>
      </c>
      <c r="G549" s="1" t="s">
        <v>231</v>
      </c>
      <c r="H549" s="1" t="s">
        <v>128</v>
      </c>
      <c r="I549" s="1">
        <v>2</v>
      </c>
      <c r="J549" s="1">
        <v>16286</v>
      </c>
      <c r="K549" s="1">
        <v>27686.2</v>
      </c>
      <c r="L549" s="1" t="s">
        <v>227</v>
      </c>
      <c r="M549" s="1">
        <v>15</v>
      </c>
      <c r="N549" s="1">
        <v>3617.71</v>
      </c>
    </row>
    <row r="550" spans="1:14" x14ac:dyDescent="0.25">
      <c r="A550" s="1">
        <v>1549</v>
      </c>
      <c r="B550" s="1" t="s">
        <v>400</v>
      </c>
      <c r="C550" s="1" t="s">
        <v>229</v>
      </c>
      <c r="D550" s="1" t="s">
        <v>245</v>
      </c>
      <c r="E550" s="1" t="s">
        <v>124</v>
      </c>
      <c r="F550" s="1" t="s">
        <v>230</v>
      </c>
      <c r="G550" s="1" t="s">
        <v>241</v>
      </c>
      <c r="H550" s="1" t="s">
        <v>217</v>
      </c>
      <c r="I550" s="1">
        <v>5</v>
      </c>
      <c r="J550" s="1">
        <v>13667</v>
      </c>
      <c r="K550" s="1">
        <v>68335</v>
      </c>
      <c r="L550" s="1" t="s">
        <v>227</v>
      </c>
      <c r="M550" s="1">
        <v>0</v>
      </c>
      <c r="N550" s="1">
        <v>7749.08</v>
      </c>
    </row>
    <row r="551" spans="1:14" x14ac:dyDescent="0.25">
      <c r="A551" s="1">
        <v>1550</v>
      </c>
      <c r="B551" s="1" t="s">
        <v>400</v>
      </c>
      <c r="C551" s="1" t="s">
        <v>239</v>
      </c>
      <c r="D551" s="1" t="s">
        <v>224</v>
      </c>
      <c r="E551" s="1" t="s">
        <v>233</v>
      </c>
      <c r="F551" s="1" t="s">
        <v>230</v>
      </c>
      <c r="G551" s="1" t="s">
        <v>241</v>
      </c>
      <c r="H551" s="1" t="s">
        <v>128</v>
      </c>
      <c r="I551" s="1">
        <v>1</v>
      </c>
      <c r="J551" s="1">
        <v>39901</v>
      </c>
      <c r="K551" s="1">
        <v>37905.949999999997</v>
      </c>
      <c r="L551" s="1" t="s">
        <v>240</v>
      </c>
      <c r="M551" s="1">
        <v>5</v>
      </c>
      <c r="N551" s="1">
        <v>9568.0400000000009</v>
      </c>
    </row>
    <row r="552" spans="1:14" x14ac:dyDescent="0.25">
      <c r="A552" s="1">
        <v>1551</v>
      </c>
      <c r="B552" s="1" t="s">
        <v>401</v>
      </c>
      <c r="C552" s="1" t="s">
        <v>239</v>
      </c>
      <c r="D552" s="1" t="s">
        <v>245</v>
      </c>
      <c r="E552" s="1" t="s">
        <v>124</v>
      </c>
      <c r="F552" s="1" t="s">
        <v>225</v>
      </c>
      <c r="G552" s="1" t="s">
        <v>236</v>
      </c>
      <c r="H552" s="1" t="s">
        <v>234</v>
      </c>
      <c r="I552" s="1">
        <v>3</v>
      </c>
      <c r="J552" s="1">
        <v>15594</v>
      </c>
      <c r="K552" s="1">
        <v>46782</v>
      </c>
      <c r="L552" s="1" t="s">
        <v>227</v>
      </c>
      <c r="M552" s="1">
        <v>0</v>
      </c>
      <c r="N552" s="1">
        <v>9270.09</v>
      </c>
    </row>
    <row r="553" spans="1:14" x14ac:dyDescent="0.25">
      <c r="A553" s="1">
        <v>1552</v>
      </c>
      <c r="B553" s="1" t="s">
        <v>401</v>
      </c>
      <c r="C553" s="1" t="s">
        <v>229</v>
      </c>
      <c r="D553" s="1" t="s">
        <v>224</v>
      </c>
      <c r="E553" s="1" t="s">
        <v>233</v>
      </c>
      <c r="F553" s="1" t="s">
        <v>230</v>
      </c>
      <c r="G553" s="1" t="s">
        <v>231</v>
      </c>
      <c r="H553" s="1" t="s">
        <v>217</v>
      </c>
      <c r="I553" s="1">
        <v>3</v>
      </c>
      <c r="J553" s="1">
        <v>34166</v>
      </c>
      <c r="K553" s="1">
        <v>102498</v>
      </c>
      <c r="L553" s="1" t="s">
        <v>227</v>
      </c>
      <c r="M553" s="1">
        <v>0</v>
      </c>
      <c r="N553" s="1">
        <v>16081.36</v>
      </c>
    </row>
    <row r="554" spans="1:14" x14ac:dyDescent="0.25">
      <c r="A554" s="1">
        <v>1553</v>
      </c>
      <c r="B554" s="1" t="s">
        <v>401</v>
      </c>
      <c r="C554" s="1" t="s">
        <v>219</v>
      </c>
      <c r="D554" s="1" t="s">
        <v>232</v>
      </c>
      <c r="E554" s="1" t="s">
        <v>233</v>
      </c>
      <c r="F554" s="1" t="s">
        <v>215</v>
      </c>
      <c r="G554" s="1" t="s">
        <v>216</v>
      </c>
      <c r="H554" s="1" t="s">
        <v>217</v>
      </c>
      <c r="I554" s="1">
        <v>5</v>
      </c>
      <c r="J554" s="1">
        <v>24626</v>
      </c>
      <c r="K554" s="1">
        <v>116973.5</v>
      </c>
      <c r="L554" s="1" t="s">
        <v>227</v>
      </c>
      <c r="M554" s="1">
        <v>5</v>
      </c>
      <c r="N554" s="1">
        <v>28459.96</v>
      </c>
    </row>
    <row r="555" spans="1:14" x14ac:dyDescent="0.25">
      <c r="A555" s="1">
        <v>1554</v>
      </c>
      <c r="B555" s="1" t="s">
        <v>402</v>
      </c>
      <c r="C555" s="1" t="s">
        <v>213</v>
      </c>
      <c r="D555" s="1" t="s">
        <v>224</v>
      </c>
      <c r="E555" s="1" t="s">
        <v>233</v>
      </c>
      <c r="F555" s="1" t="s">
        <v>230</v>
      </c>
      <c r="G555" s="1" t="s">
        <v>241</v>
      </c>
      <c r="H555" s="1" t="s">
        <v>221</v>
      </c>
      <c r="I555" s="1">
        <v>4</v>
      </c>
      <c r="J555" s="1">
        <v>36697</v>
      </c>
      <c r="K555" s="1">
        <v>124769.8</v>
      </c>
      <c r="L555" s="1" t="s">
        <v>240</v>
      </c>
      <c r="M555" s="1">
        <v>15</v>
      </c>
      <c r="N555" s="1">
        <v>16112.05</v>
      </c>
    </row>
    <row r="556" spans="1:14" x14ac:dyDescent="0.25">
      <c r="A556" s="1">
        <v>1555</v>
      </c>
      <c r="B556" s="1" t="s">
        <v>402</v>
      </c>
      <c r="C556" s="1" t="s">
        <v>219</v>
      </c>
      <c r="D556" s="1" t="s">
        <v>245</v>
      </c>
      <c r="E556" s="1" t="s">
        <v>124</v>
      </c>
      <c r="F556" s="1" t="s">
        <v>230</v>
      </c>
      <c r="G556" s="1" t="s">
        <v>242</v>
      </c>
      <c r="H556" s="1" t="s">
        <v>234</v>
      </c>
      <c r="I556" s="1">
        <v>5</v>
      </c>
      <c r="J556" s="1">
        <v>43074</v>
      </c>
      <c r="K556" s="1">
        <v>215370</v>
      </c>
      <c r="L556" s="1" t="s">
        <v>222</v>
      </c>
      <c r="M556" s="1">
        <v>0</v>
      </c>
      <c r="N556" s="1">
        <v>30639.16</v>
      </c>
    </row>
    <row r="557" spans="1:14" x14ac:dyDescent="0.25">
      <c r="A557" s="1">
        <v>1556</v>
      </c>
      <c r="B557" s="1" t="s">
        <v>403</v>
      </c>
      <c r="C557" s="1" t="s">
        <v>219</v>
      </c>
      <c r="D557" s="1" t="s">
        <v>224</v>
      </c>
      <c r="E557" s="1" t="s">
        <v>233</v>
      </c>
      <c r="F557" s="1" t="s">
        <v>215</v>
      </c>
      <c r="G557" s="1" t="s">
        <v>246</v>
      </c>
      <c r="H557" s="1" t="s">
        <v>234</v>
      </c>
      <c r="I557" s="1">
        <v>2</v>
      </c>
      <c r="J557" s="1">
        <v>44629</v>
      </c>
      <c r="K557" s="1">
        <v>89258</v>
      </c>
      <c r="L557" s="1" t="s">
        <v>218</v>
      </c>
      <c r="M557" s="1">
        <v>0</v>
      </c>
      <c r="N557" s="1">
        <v>21101.61</v>
      </c>
    </row>
    <row r="558" spans="1:14" x14ac:dyDescent="0.25">
      <c r="A558" s="1">
        <v>1557</v>
      </c>
      <c r="B558" s="1" t="s">
        <v>403</v>
      </c>
      <c r="C558" s="1" t="s">
        <v>229</v>
      </c>
      <c r="D558" s="1" t="s">
        <v>245</v>
      </c>
      <c r="E558" s="1" t="s">
        <v>124</v>
      </c>
      <c r="F558" s="1" t="s">
        <v>230</v>
      </c>
      <c r="G558" s="1" t="s">
        <v>241</v>
      </c>
      <c r="H558" s="1" t="s">
        <v>234</v>
      </c>
      <c r="I558" s="1">
        <v>2</v>
      </c>
      <c r="J558" s="1">
        <v>8012</v>
      </c>
      <c r="K558" s="1">
        <v>13620.4</v>
      </c>
      <c r="L558" s="1" t="s">
        <v>240</v>
      </c>
      <c r="M558" s="1">
        <v>15</v>
      </c>
      <c r="N558" s="1">
        <v>2557.5700000000002</v>
      </c>
    </row>
    <row r="559" spans="1:14" x14ac:dyDescent="0.25">
      <c r="A559" s="1">
        <v>1558</v>
      </c>
      <c r="B559" s="1" t="s">
        <v>403</v>
      </c>
      <c r="C559" s="1" t="s">
        <v>223</v>
      </c>
      <c r="D559" s="1" t="s">
        <v>232</v>
      </c>
      <c r="E559" s="1" t="s">
        <v>233</v>
      </c>
      <c r="F559" s="1" t="s">
        <v>225</v>
      </c>
      <c r="G559" s="1" t="s">
        <v>226</v>
      </c>
      <c r="H559" s="1" t="s">
        <v>234</v>
      </c>
      <c r="I559" s="1">
        <v>3</v>
      </c>
      <c r="J559" s="1">
        <v>41621</v>
      </c>
      <c r="K559" s="1">
        <v>106133.55</v>
      </c>
      <c r="L559" s="1" t="s">
        <v>218</v>
      </c>
      <c r="M559" s="1">
        <v>15</v>
      </c>
      <c r="N559" s="1">
        <v>11199.52</v>
      </c>
    </row>
    <row r="560" spans="1:14" x14ac:dyDescent="0.25">
      <c r="A560" s="1">
        <v>1559</v>
      </c>
      <c r="B560" s="1" t="s">
        <v>404</v>
      </c>
      <c r="C560" s="1" t="s">
        <v>213</v>
      </c>
      <c r="D560" s="1" t="s">
        <v>220</v>
      </c>
      <c r="E560" s="1" t="s">
        <v>85</v>
      </c>
      <c r="F560" s="1" t="s">
        <v>230</v>
      </c>
      <c r="G560" s="1" t="s">
        <v>231</v>
      </c>
      <c r="H560" s="1" t="s">
        <v>234</v>
      </c>
      <c r="I560" s="1">
        <v>1</v>
      </c>
      <c r="J560" s="1">
        <v>21416</v>
      </c>
      <c r="K560" s="1">
        <v>19274.400000000001</v>
      </c>
      <c r="L560" s="1" t="s">
        <v>227</v>
      </c>
      <c r="M560" s="1">
        <v>10</v>
      </c>
      <c r="N560" s="1">
        <v>5546.07</v>
      </c>
    </row>
    <row r="561" spans="1:14" x14ac:dyDescent="0.25">
      <c r="A561" s="1">
        <v>1560</v>
      </c>
      <c r="B561" s="1" t="s">
        <v>404</v>
      </c>
      <c r="C561" s="1" t="s">
        <v>229</v>
      </c>
      <c r="D561" s="1" t="s">
        <v>232</v>
      </c>
      <c r="E561" s="1" t="s">
        <v>233</v>
      </c>
      <c r="F561" s="1" t="s">
        <v>225</v>
      </c>
      <c r="G561" s="1" t="s">
        <v>248</v>
      </c>
      <c r="H561" s="1" t="s">
        <v>234</v>
      </c>
      <c r="I561" s="1">
        <v>5</v>
      </c>
      <c r="J561" s="1">
        <v>19766</v>
      </c>
      <c r="K561" s="1">
        <v>93888.5</v>
      </c>
      <c r="L561" s="1" t="s">
        <v>240</v>
      </c>
      <c r="M561" s="1">
        <v>5</v>
      </c>
      <c r="N561" s="1">
        <v>10221.5</v>
      </c>
    </row>
    <row r="562" spans="1:14" x14ac:dyDescent="0.25">
      <c r="A562" s="1">
        <v>1561</v>
      </c>
      <c r="B562" s="1" t="s">
        <v>404</v>
      </c>
      <c r="C562" s="1" t="s">
        <v>213</v>
      </c>
      <c r="D562" s="1" t="s">
        <v>214</v>
      </c>
      <c r="E562" s="1" t="s">
        <v>124</v>
      </c>
      <c r="F562" s="1" t="s">
        <v>230</v>
      </c>
      <c r="G562" s="1" t="s">
        <v>231</v>
      </c>
      <c r="H562" s="1" t="s">
        <v>221</v>
      </c>
      <c r="I562" s="1">
        <v>1</v>
      </c>
      <c r="J562" s="1">
        <v>1331</v>
      </c>
      <c r="K562" s="1">
        <v>1264.45</v>
      </c>
      <c r="L562" s="1" t="s">
        <v>240</v>
      </c>
      <c r="M562" s="1">
        <v>5</v>
      </c>
      <c r="N562" s="1">
        <v>292.58</v>
      </c>
    </row>
    <row r="563" spans="1:14" x14ac:dyDescent="0.25">
      <c r="A563" s="1">
        <v>1562</v>
      </c>
      <c r="B563" s="1" t="s">
        <v>405</v>
      </c>
      <c r="C563" s="1" t="s">
        <v>223</v>
      </c>
      <c r="D563" s="1" t="s">
        <v>245</v>
      </c>
      <c r="E563" s="1" t="s">
        <v>124</v>
      </c>
      <c r="F563" s="1" t="s">
        <v>230</v>
      </c>
      <c r="G563" s="1" t="s">
        <v>242</v>
      </c>
      <c r="H563" s="1" t="s">
        <v>128</v>
      </c>
      <c r="I563" s="1">
        <v>1</v>
      </c>
      <c r="J563" s="1">
        <v>27511</v>
      </c>
      <c r="K563" s="1">
        <v>23384.35</v>
      </c>
      <c r="L563" s="1" t="s">
        <v>222</v>
      </c>
      <c r="M563" s="1">
        <v>15</v>
      </c>
      <c r="N563" s="1">
        <v>3019.21</v>
      </c>
    </row>
    <row r="564" spans="1:14" x14ac:dyDescent="0.25">
      <c r="A564" s="1">
        <v>1563</v>
      </c>
      <c r="B564" s="1" t="s">
        <v>405</v>
      </c>
      <c r="C564" s="1" t="s">
        <v>219</v>
      </c>
      <c r="D564" s="1" t="s">
        <v>220</v>
      </c>
      <c r="E564" s="1" t="s">
        <v>85</v>
      </c>
      <c r="F564" s="1" t="s">
        <v>215</v>
      </c>
      <c r="G564" s="1" t="s">
        <v>244</v>
      </c>
      <c r="H564" s="1" t="s">
        <v>221</v>
      </c>
      <c r="I564" s="1">
        <v>5</v>
      </c>
      <c r="J564" s="1">
        <v>42205</v>
      </c>
      <c r="K564" s="1">
        <v>179371.25</v>
      </c>
      <c r="L564" s="1" t="s">
        <v>227</v>
      </c>
      <c r="M564" s="1">
        <v>15</v>
      </c>
      <c r="N564" s="1">
        <v>30802.15</v>
      </c>
    </row>
    <row r="565" spans="1:14" x14ac:dyDescent="0.25">
      <c r="A565" s="1">
        <v>1564</v>
      </c>
      <c r="B565" s="1" t="s">
        <v>405</v>
      </c>
      <c r="C565" s="1" t="s">
        <v>219</v>
      </c>
      <c r="D565" s="1" t="s">
        <v>220</v>
      </c>
      <c r="E565" s="1" t="s">
        <v>85</v>
      </c>
      <c r="F565" s="1" t="s">
        <v>225</v>
      </c>
      <c r="G565" s="1" t="s">
        <v>248</v>
      </c>
      <c r="H565" s="1" t="s">
        <v>234</v>
      </c>
      <c r="I565" s="1">
        <v>1</v>
      </c>
      <c r="J565" s="1">
        <v>20725</v>
      </c>
      <c r="K565" s="1">
        <v>18652.5</v>
      </c>
      <c r="L565" s="1" t="s">
        <v>240</v>
      </c>
      <c r="M565" s="1">
        <v>10</v>
      </c>
      <c r="N565" s="1">
        <v>5168.43</v>
      </c>
    </row>
    <row r="566" spans="1:14" x14ac:dyDescent="0.25">
      <c r="A566" s="1">
        <v>1565</v>
      </c>
      <c r="B566" s="1" t="s">
        <v>405</v>
      </c>
      <c r="C566" s="1" t="s">
        <v>219</v>
      </c>
      <c r="D566" s="1" t="s">
        <v>245</v>
      </c>
      <c r="E566" s="1" t="s">
        <v>124</v>
      </c>
      <c r="F566" s="1" t="s">
        <v>225</v>
      </c>
      <c r="G566" s="1" t="s">
        <v>236</v>
      </c>
      <c r="H566" s="1" t="s">
        <v>217</v>
      </c>
      <c r="I566" s="1">
        <v>3</v>
      </c>
      <c r="J566" s="1">
        <v>30363</v>
      </c>
      <c r="K566" s="1">
        <v>77425.649999999994</v>
      </c>
      <c r="L566" s="1" t="s">
        <v>222</v>
      </c>
      <c r="M566" s="1">
        <v>15</v>
      </c>
      <c r="N566" s="1">
        <v>19078.86</v>
      </c>
    </row>
    <row r="567" spans="1:14" x14ac:dyDescent="0.25">
      <c r="A567" s="1">
        <v>1566</v>
      </c>
      <c r="B567" s="1" t="s">
        <v>405</v>
      </c>
      <c r="C567" s="1" t="s">
        <v>213</v>
      </c>
      <c r="D567" s="1" t="s">
        <v>224</v>
      </c>
      <c r="E567" s="1" t="s">
        <v>233</v>
      </c>
      <c r="F567" s="1" t="s">
        <v>215</v>
      </c>
      <c r="G567" s="1" t="s">
        <v>246</v>
      </c>
      <c r="H567" s="1" t="s">
        <v>234</v>
      </c>
      <c r="I567" s="1">
        <v>1</v>
      </c>
      <c r="J567" s="1">
        <v>30831</v>
      </c>
      <c r="K567" s="1">
        <v>27747.9</v>
      </c>
      <c r="L567" s="1" t="s">
        <v>222</v>
      </c>
      <c r="M567" s="1">
        <v>10</v>
      </c>
      <c r="N567" s="1">
        <v>4475.5200000000004</v>
      </c>
    </row>
    <row r="568" spans="1:14" x14ac:dyDescent="0.25">
      <c r="A568" s="1">
        <v>1567</v>
      </c>
      <c r="B568" s="1" t="s">
        <v>406</v>
      </c>
      <c r="C568" s="1" t="s">
        <v>219</v>
      </c>
      <c r="D568" s="1" t="s">
        <v>224</v>
      </c>
      <c r="E568" s="1" t="s">
        <v>233</v>
      </c>
      <c r="F568" s="1" t="s">
        <v>225</v>
      </c>
      <c r="G568" s="1" t="s">
        <v>226</v>
      </c>
      <c r="H568" s="1" t="s">
        <v>221</v>
      </c>
      <c r="I568" s="1">
        <v>1</v>
      </c>
      <c r="J568" s="1">
        <v>45923</v>
      </c>
      <c r="K568" s="1">
        <v>39034.550000000003</v>
      </c>
      <c r="L568" s="1" t="s">
        <v>227</v>
      </c>
      <c r="M568" s="1">
        <v>15</v>
      </c>
      <c r="N568" s="1">
        <v>4274.24</v>
      </c>
    </row>
    <row r="569" spans="1:14" x14ac:dyDescent="0.25">
      <c r="A569" s="1">
        <v>1568</v>
      </c>
      <c r="B569" s="1" t="s">
        <v>406</v>
      </c>
      <c r="C569" s="1" t="s">
        <v>229</v>
      </c>
      <c r="D569" s="1" t="s">
        <v>220</v>
      </c>
      <c r="E569" s="1" t="s">
        <v>85</v>
      </c>
      <c r="F569" s="1" t="s">
        <v>230</v>
      </c>
      <c r="G569" s="1" t="s">
        <v>231</v>
      </c>
      <c r="H569" s="1" t="s">
        <v>128</v>
      </c>
      <c r="I569" s="1">
        <v>2</v>
      </c>
      <c r="J569" s="1">
        <v>23372</v>
      </c>
      <c r="K569" s="1">
        <v>46744</v>
      </c>
      <c r="L569" s="1" t="s">
        <v>240</v>
      </c>
      <c r="M569" s="1">
        <v>0</v>
      </c>
      <c r="N569" s="1">
        <v>5913.68</v>
      </c>
    </row>
    <row r="570" spans="1:14" x14ac:dyDescent="0.25">
      <c r="A570" s="1">
        <v>1569</v>
      </c>
      <c r="B570" s="1" t="s">
        <v>406</v>
      </c>
      <c r="C570" s="1" t="s">
        <v>229</v>
      </c>
      <c r="D570" s="1" t="s">
        <v>245</v>
      </c>
      <c r="E570" s="1" t="s">
        <v>124</v>
      </c>
      <c r="F570" s="1" t="s">
        <v>225</v>
      </c>
      <c r="G570" s="1" t="s">
        <v>248</v>
      </c>
      <c r="H570" s="1" t="s">
        <v>217</v>
      </c>
      <c r="I570" s="1">
        <v>1</v>
      </c>
      <c r="J570" s="1">
        <v>38531</v>
      </c>
      <c r="K570" s="1">
        <v>38531</v>
      </c>
      <c r="L570" s="1" t="s">
        <v>240</v>
      </c>
      <c r="M570" s="1">
        <v>0</v>
      </c>
      <c r="N570" s="1">
        <v>10766.89</v>
      </c>
    </row>
    <row r="571" spans="1:14" x14ac:dyDescent="0.25">
      <c r="A571" s="1">
        <v>1570</v>
      </c>
      <c r="B571" s="1" t="s">
        <v>406</v>
      </c>
      <c r="C571" s="1" t="s">
        <v>229</v>
      </c>
      <c r="D571" s="1" t="s">
        <v>214</v>
      </c>
      <c r="E571" s="1" t="s">
        <v>124</v>
      </c>
      <c r="F571" s="1" t="s">
        <v>215</v>
      </c>
      <c r="G571" s="1" t="s">
        <v>216</v>
      </c>
      <c r="H571" s="1" t="s">
        <v>217</v>
      </c>
      <c r="I571" s="1">
        <v>3</v>
      </c>
      <c r="J571" s="1">
        <v>40065</v>
      </c>
      <c r="K571" s="1">
        <v>114185.25</v>
      </c>
      <c r="L571" s="1" t="s">
        <v>227</v>
      </c>
      <c r="M571" s="1">
        <v>5</v>
      </c>
      <c r="N571" s="1">
        <v>22451.77</v>
      </c>
    </row>
    <row r="572" spans="1:14" x14ac:dyDescent="0.25">
      <c r="A572" s="1">
        <v>1571</v>
      </c>
      <c r="B572" s="1" t="s">
        <v>406</v>
      </c>
      <c r="C572" s="1" t="s">
        <v>213</v>
      </c>
      <c r="D572" s="1" t="s">
        <v>220</v>
      </c>
      <c r="E572" s="1" t="s">
        <v>85</v>
      </c>
      <c r="F572" s="1" t="s">
        <v>225</v>
      </c>
      <c r="G572" s="1" t="s">
        <v>226</v>
      </c>
      <c r="H572" s="1" t="s">
        <v>234</v>
      </c>
      <c r="I572" s="1">
        <v>2</v>
      </c>
      <c r="J572" s="1">
        <v>2926</v>
      </c>
      <c r="K572" s="1">
        <v>5266.8</v>
      </c>
      <c r="L572" s="1" t="s">
        <v>222</v>
      </c>
      <c r="M572" s="1">
        <v>10</v>
      </c>
      <c r="N572" s="1">
        <v>1531.64</v>
      </c>
    </row>
    <row r="573" spans="1:14" x14ac:dyDescent="0.25">
      <c r="A573" s="1">
        <v>1572</v>
      </c>
      <c r="B573" s="1" t="s">
        <v>407</v>
      </c>
      <c r="C573" s="1" t="s">
        <v>219</v>
      </c>
      <c r="D573" s="1" t="s">
        <v>232</v>
      </c>
      <c r="E573" s="1" t="s">
        <v>233</v>
      </c>
      <c r="F573" s="1" t="s">
        <v>230</v>
      </c>
      <c r="G573" s="1" t="s">
        <v>241</v>
      </c>
      <c r="H573" s="1" t="s">
        <v>217</v>
      </c>
      <c r="I573" s="1">
        <v>2</v>
      </c>
      <c r="J573" s="1">
        <v>16106</v>
      </c>
      <c r="K573" s="1">
        <v>30601.4</v>
      </c>
      <c r="L573" s="1" t="s">
        <v>222</v>
      </c>
      <c r="M573" s="1">
        <v>5</v>
      </c>
      <c r="N573" s="1">
        <v>8203.93</v>
      </c>
    </row>
    <row r="574" spans="1:14" x14ac:dyDescent="0.25">
      <c r="A574" s="1">
        <v>1573</v>
      </c>
      <c r="B574" s="1" t="s">
        <v>407</v>
      </c>
      <c r="C574" s="1" t="s">
        <v>219</v>
      </c>
      <c r="D574" s="1" t="s">
        <v>220</v>
      </c>
      <c r="E574" s="1" t="s">
        <v>85</v>
      </c>
      <c r="F574" s="1" t="s">
        <v>225</v>
      </c>
      <c r="G574" s="1" t="s">
        <v>248</v>
      </c>
      <c r="H574" s="1" t="s">
        <v>234</v>
      </c>
      <c r="I574" s="1">
        <v>3</v>
      </c>
      <c r="J574" s="1">
        <v>12334</v>
      </c>
      <c r="K574" s="1">
        <v>37002</v>
      </c>
      <c r="L574" s="1" t="s">
        <v>222</v>
      </c>
      <c r="M574" s="1">
        <v>0</v>
      </c>
      <c r="N574" s="1">
        <v>7633.11</v>
      </c>
    </row>
    <row r="575" spans="1:14" x14ac:dyDescent="0.25">
      <c r="A575" s="1">
        <v>1574</v>
      </c>
      <c r="B575" s="1" t="s">
        <v>407</v>
      </c>
      <c r="C575" s="1" t="s">
        <v>213</v>
      </c>
      <c r="D575" s="1" t="s">
        <v>220</v>
      </c>
      <c r="E575" s="1" t="s">
        <v>85</v>
      </c>
      <c r="F575" s="1" t="s">
        <v>230</v>
      </c>
      <c r="G575" s="1" t="s">
        <v>241</v>
      </c>
      <c r="H575" s="1" t="s">
        <v>221</v>
      </c>
      <c r="I575" s="1">
        <v>5</v>
      </c>
      <c r="J575" s="1">
        <v>37493</v>
      </c>
      <c r="K575" s="1">
        <v>159345.25</v>
      </c>
      <c r="L575" s="1" t="s">
        <v>218</v>
      </c>
      <c r="M575" s="1">
        <v>15</v>
      </c>
      <c r="N575" s="1">
        <v>35756.32</v>
      </c>
    </row>
    <row r="576" spans="1:14" x14ac:dyDescent="0.25">
      <c r="A576" s="1">
        <v>1575</v>
      </c>
      <c r="B576" s="1" t="s">
        <v>407</v>
      </c>
      <c r="C576" s="1" t="s">
        <v>223</v>
      </c>
      <c r="D576" s="1" t="s">
        <v>220</v>
      </c>
      <c r="E576" s="1" t="s">
        <v>85</v>
      </c>
      <c r="F576" s="1" t="s">
        <v>230</v>
      </c>
      <c r="G576" s="1" t="s">
        <v>242</v>
      </c>
      <c r="H576" s="1" t="s">
        <v>221</v>
      </c>
      <c r="I576" s="1">
        <v>5</v>
      </c>
      <c r="J576" s="1">
        <v>43683</v>
      </c>
      <c r="K576" s="1">
        <v>207494.25</v>
      </c>
      <c r="L576" s="1" t="s">
        <v>227</v>
      </c>
      <c r="M576" s="1">
        <v>5</v>
      </c>
      <c r="N576" s="1">
        <v>26531.53</v>
      </c>
    </row>
    <row r="577" spans="1:14" x14ac:dyDescent="0.25">
      <c r="A577" s="1">
        <v>1576</v>
      </c>
      <c r="B577" s="1" t="s">
        <v>408</v>
      </c>
      <c r="C577" s="1" t="s">
        <v>219</v>
      </c>
      <c r="D577" s="1" t="s">
        <v>232</v>
      </c>
      <c r="E577" s="1" t="s">
        <v>233</v>
      </c>
      <c r="F577" s="1" t="s">
        <v>230</v>
      </c>
      <c r="G577" s="1" t="s">
        <v>241</v>
      </c>
      <c r="H577" s="1" t="s">
        <v>234</v>
      </c>
      <c r="I577" s="1">
        <v>1</v>
      </c>
      <c r="J577" s="1">
        <v>25071</v>
      </c>
      <c r="K577" s="1">
        <v>25071</v>
      </c>
      <c r="L577" s="1" t="s">
        <v>240</v>
      </c>
      <c r="M577" s="1">
        <v>0</v>
      </c>
      <c r="N577" s="1">
        <v>4774.1400000000003</v>
      </c>
    </row>
    <row r="578" spans="1:14" x14ac:dyDescent="0.25">
      <c r="A578" s="1">
        <v>1577</v>
      </c>
      <c r="B578" s="1" t="s">
        <v>408</v>
      </c>
      <c r="C578" s="1" t="s">
        <v>223</v>
      </c>
      <c r="D578" s="1" t="s">
        <v>224</v>
      </c>
      <c r="E578" s="1" t="s">
        <v>233</v>
      </c>
      <c r="F578" s="1" t="s">
        <v>215</v>
      </c>
      <c r="G578" s="1" t="s">
        <v>216</v>
      </c>
      <c r="H578" s="1" t="s">
        <v>234</v>
      </c>
      <c r="I578" s="1">
        <v>5</v>
      </c>
      <c r="J578" s="1">
        <v>32933</v>
      </c>
      <c r="K578" s="1">
        <v>156431.75</v>
      </c>
      <c r="L578" s="1" t="s">
        <v>240</v>
      </c>
      <c r="M578" s="1">
        <v>5</v>
      </c>
      <c r="N578" s="1">
        <v>36725.980000000003</v>
      </c>
    </row>
    <row r="579" spans="1:14" x14ac:dyDescent="0.25">
      <c r="A579" s="1">
        <v>1578</v>
      </c>
      <c r="B579" s="1" t="s">
        <v>408</v>
      </c>
      <c r="C579" s="1" t="s">
        <v>229</v>
      </c>
      <c r="D579" s="1" t="s">
        <v>232</v>
      </c>
      <c r="E579" s="1" t="s">
        <v>233</v>
      </c>
      <c r="F579" s="1" t="s">
        <v>230</v>
      </c>
      <c r="G579" s="1" t="s">
        <v>231</v>
      </c>
      <c r="H579" s="1" t="s">
        <v>217</v>
      </c>
      <c r="I579" s="1">
        <v>1</v>
      </c>
      <c r="J579" s="1">
        <v>34216</v>
      </c>
      <c r="K579" s="1">
        <v>30794.400000000001</v>
      </c>
      <c r="L579" s="1" t="s">
        <v>240</v>
      </c>
      <c r="M579" s="1">
        <v>10</v>
      </c>
      <c r="N579" s="1">
        <v>8995.07</v>
      </c>
    </row>
    <row r="580" spans="1:14" x14ac:dyDescent="0.25">
      <c r="A580" s="1">
        <v>1579</v>
      </c>
      <c r="B580" s="1" t="s">
        <v>409</v>
      </c>
      <c r="C580" s="1" t="s">
        <v>229</v>
      </c>
      <c r="D580" s="1" t="s">
        <v>245</v>
      </c>
      <c r="E580" s="1" t="s">
        <v>124</v>
      </c>
      <c r="F580" s="1" t="s">
        <v>230</v>
      </c>
      <c r="G580" s="1" t="s">
        <v>242</v>
      </c>
      <c r="H580" s="1" t="s">
        <v>221</v>
      </c>
      <c r="I580" s="1">
        <v>5</v>
      </c>
      <c r="J580" s="1">
        <v>49104</v>
      </c>
      <c r="K580" s="1">
        <v>233244</v>
      </c>
      <c r="L580" s="1" t="s">
        <v>227</v>
      </c>
      <c r="M580" s="1">
        <v>5</v>
      </c>
      <c r="N580" s="1">
        <v>28453.54</v>
      </c>
    </row>
    <row r="581" spans="1:14" x14ac:dyDescent="0.25">
      <c r="A581" s="1">
        <v>1580</v>
      </c>
      <c r="B581" s="1" t="s">
        <v>409</v>
      </c>
      <c r="C581" s="1" t="s">
        <v>229</v>
      </c>
      <c r="D581" s="1" t="s">
        <v>245</v>
      </c>
      <c r="E581" s="1" t="s">
        <v>124</v>
      </c>
      <c r="F581" s="1" t="s">
        <v>215</v>
      </c>
      <c r="G581" s="1" t="s">
        <v>246</v>
      </c>
      <c r="H581" s="1" t="s">
        <v>221</v>
      </c>
      <c r="I581" s="1">
        <v>5</v>
      </c>
      <c r="J581" s="1">
        <v>39453</v>
      </c>
      <c r="K581" s="1">
        <v>187401.75</v>
      </c>
      <c r="L581" s="1" t="s">
        <v>218</v>
      </c>
      <c r="M581" s="1">
        <v>5</v>
      </c>
      <c r="N581" s="1">
        <v>35634.29</v>
      </c>
    </row>
    <row r="582" spans="1:14" x14ac:dyDescent="0.25">
      <c r="A582" s="1">
        <v>1581</v>
      </c>
      <c r="B582" s="1" t="s">
        <v>409</v>
      </c>
      <c r="C582" s="1" t="s">
        <v>223</v>
      </c>
      <c r="D582" s="1" t="s">
        <v>232</v>
      </c>
      <c r="E582" s="1" t="s">
        <v>233</v>
      </c>
      <c r="F582" s="1" t="s">
        <v>230</v>
      </c>
      <c r="G582" s="1" t="s">
        <v>241</v>
      </c>
      <c r="H582" s="1" t="s">
        <v>128</v>
      </c>
      <c r="I582" s="1">
        <v>2</v>
      </c>
      <c r="J582" s="1">
        <v>44088</v>
      </c>
      <c r="K582" s="1">
        <v>74949.600000000006</v>
      </c>
      <c r="L582" s="1" t="s">
        <v>218</v>
      </c>
      <c r="M582" s="1">
        <v>15</v>
      </c>
      <c r="N582" s="1">
        <v>18606.18</v>
      </c>
    </row>
    <row r="583" spans="1:14" x14ac:dyDescent="0.25">
      <c r="A583" s="1">
        <v>1582</v>
      </c>
      <c r="B583" s="1" t="s">
        <v>410</v>
      </c>
      <c r="C583" s="1" t="s">
        <v>223</v>
      </c>
      <c r="D583" s="1" t="s">
        <v>224</v>
      </c>
      <c r="E583" s="1" t="s">
        <v>233</v>
      </c>
      <c r="F583" s="1" t="s">
        <v>230</v>
      </c>
      <c r="G583" s="1" t="s">
        <v>241</v>
      </c>
      <c r="H583" s="1" t="s">
        <v>128</v>
      </c>
      <c r="I583" s="1">
        <v>5</v>
      </c>
      <c r="J583" s="1">
        <v>40872</v>
      </c>
      <c r="K583" s="1">
        <v>173706</v>
      </c>
      <c r="L583" s="1" t="s">
        <v>240</v>
      </c>
      <c r="M583" s="1">
        <v>15</v>
      </c>
      <c r="N583" s="1">
        <v>51631.43</v>
      </c>
    </row>
    <row r="584" spans="1:14" x14ac:dyDescent="0.25">
      <c r="A584" s="1">
        <v>1583</v>
      </c>
      <c r="B584" s="1" t="s">
        <v>410</v>
      </c>
      <c r="C584" s="1" t="s">
        <v>229</v>
      </c>
      <c r="D584" s="1" t="s">
        <v>232</v>
      </c>
      <c r="E584" s="1" t="s">
        <v>233</v>
      </c>
      <c r="F584" s="1" t="s">
        <v>215</v>
      </c>
      <c r="G584" s="1" t="s">
        <v>216</v>
      </c>
      <c r="H584" s="1" t="s">
        <v>128</v>
      </c>
      <c r="I584" s="1">
        <v>3</v>
      </c>
      <c r="J584" s="1">
        <v>45147</v>
      </c>
      <c r="K584" s="1">
        <v>135441</v>
      </c>
      <c r="L584" s="1" t="s">
        <v>222</v>
      </c>
      <c r="M584" s="1">
        <v>0</v>
      </c>
      <c r="N584" s="1">
        <v>36980.589999999997</v>
      </c>
    </row>
    <row r="585" spans="1:14" x14ac:dyDescent="0.25">
      <c r="A585" s="1">
        <v>1584</v>
      </c>
      <c r="B585" s="1" t="s">
        <v>410</v>
      </c>
      <c r="C585" s="1" t="s">
        <v>223</v>
      </c>
      <c r="D585" s="1" t="s">
        <v>232</v>
      </c>
      <c r="E585" s="1" t="s">
        <v>233</v>
      </c>
      <c r="F585" s="1" t="s">
        <v>225</v>
      </c>
      <c r="G585" s="1" t="s">
        <v>226</v>
      </c>
      <c r="H585" s="1" t="s">
        <v>128</v>
      </c>
      <c r="I585" s="1">
        <v>1</v>
      </c>
      <c r="J585" s="1">
        <v>39040</v>
      </c>
      <c r="K585" s="1">
        <v>37088</v>
      </c>
      <c r="L585" s="1" t="s">
        <v>240</v>
      </c>
      <c r="M585" s="1">
        <v>5</v>
      </c>
      <c r="N585" s="1">
        <v>5196.47</v>
      </c>
    </row>
    <row r="586" spans="1:14" x14ac:dyDescent="0.25">
      <c r="A586" s="1">
        <v>1585</v>
      </c>
      <c r="B586" s="1" t="s">
        <v>411</v>
      </c>
      <c r="C586" s="1" t="s">
        <v>223</v>
      </c>
      <c r="D586" s="1" t="s">
        <v>232</v>
      </c>
      <c r="E586" s="1" t="s">
        <v>233</v>
      </c>
      <c r="F586" s="1" t="s">
        <v>215</v>
      </c>
      <c r="G586" s="1" t="s">
        <v>246</v>
      </c>
      <c r="H586" s="1" t="s">
        <v>217</v>
      </c>
      <c r="I586" s="1">
        <v>5</v>
      </c>
      <c r="J586" s="1">
        <v>8404</v>
      </c>
      <c r="K586" s="1">
        <v>37818</v>
      </c>
      <c r="L586" s="1" t="s">
        <v>227</v>
      </c>
      <c r="M586" s="1">
        <v>10</v>
      </c>
      <c r="N586" s="1">
        <v>11024.69</v>
      </c>
    </row>
    <row r="587" spans="1:14" x14ac:dyDescent="0.25">
      <c r="A587" s="1">
        <v>1586</v>
      </c>
      <c r="B587" s="1" t="s">
        <v>411</v>
      </c>
      <c r="C587" s="1" t="s">
        <v>229</v>
      </c>
      <c r="D587" s="1" t="s">
        <v>214</v>
      </c>
      <c r="E587" s="1" t="s">
        <v>124</v>
      </c>
      <c r="F587" s="1" t="s">
        <v>215</v>
      </c>
      <c r="G587" s="1" t="s">
        <v>244</v>
      </c>
      <c r="H587" s="1" t="s">
        <v>234</v>
      </c>
      <c r="I587" s="1">
        <v>1</v>
      </c>
      <c r="J587" s="1">
        <v>22544</v>
      </c>
      <c r="K587" s="1">
        <v>19162.400000000001</v>
      </c>
      <c r="L587" s="1" t="s">
        <v>227</v>
      </c>
      <c r="M587" s="1">
        <v>15</v>
      </c>
      <c r="N587" s="1">
        <v>5059.82</v>
      </c>
    </row>
    <row r="588" spans="1:14" x14ac:dyDescent="0.25">
      <c r="A588" s="1">
        <v>1587</v>
      </c>
      <c r="B588" s="1" t="s">
        <v>412</v>
      </c>
      <c r="C588" s="1" t="s">
        <v>239</v>
      </c>
      <c r="D588" s="1" t="s">
        <v>245</v>
      </c>
      <c r="E588" s="1" t="s">
        <v>124</v>
      </c>
      <c r="F588" s="1" t="s">
        <v>230</v>
      </c>
      <c r="G588" s="1" t="s">
        <v>231</v>
      </c>
      <c r="H588" s="1" t="s">
        <v>217</v>
      </c>
      <c r="I588" s="1">
        <v>1</v>
      </c>
      <c r="J588" s="1">
        <v>19648</v>
      </c>
      <c r="K588" s="1">
        <v>18665.599999999999</v>
      </c>
      <c r="L588" s="1" t="s">
        <v>227</v>
      </c>
      <c r="M588" s="1">
        <v>5</v>
      </c>
      <c r="N588" s="1">
        <v>3992.2</v>
      </c>
    </row>
    <row r="589" spans="1:14" x14ac:dyDescent="0.25">
      <c r="A589" s="1">
        <v>1588</v>
      </c>
      <c r="B589" s="1" t="s">
        <v>412</v>
      </c>
      <c r="C589" s="1" t="s">
        <v>219</v>
      </c>
      <c r="D589" s="1" t="s">
        <v>220</v>
      </c>
      <c r="E589" s="1" t="s">
        <v>85</v>
      </c>
      <c r="F589" s="1" t="s">
        <v>215</v>
      </c>
      <c r="G589" s="1" t="s">
        <v>216</v>
      </c>
      <c r="H589" s="1" t="s">
        <v>128</v>
      </c>
      <c r="I589" s="1">
        <v>5</v>
      </c>
      <c r="J589" s="1">
        <v>34145</v>
      </c>
      <c r="K589" s="1">
        <v>145116.25</v>
      </c>
      <c r="L589" s="1" t="s">
        <v>222</v>
      </c>
      <c r="M589" s="1">
        <v>15</v>
      </c>
      <c r="N589" s="1">
        <v>28897.89</v>
      </c>
    </row>
    <row r="590" spans="1:14" x14ac:dyDescent="0.25">
      <c r="A590" s="1">
        <v>1589</v>
      </c>
      <c r="B590" s="1" t="s">
        <v>412</v>
      </c>
      <c r="C590" s="1" t="s">
        <v>229</v>
      </c>
      <c r="D590" s="1" t="s">
        <v>232</v>
      </c>
      <c r="E590" s="1" t="s">
        <v>233</v>
      </c>
      <c r="F590" s="1" t="s">
        <v>215</v>
      </c>
      <c r="G590" s="1" t="s">
        <v>244</v>
      </c>
      <c r="H590" s="1" t="s">
        <v>234</v>
      </c>
      <c r="I590" s="1">
        <v>4</v>
      </c>
      <c r="J590" s="1">
        <v>23218</v>
      </c>
      <c r="K590" s="1">
        <v>83584.800000000003</v>
      </c>
      <c r="L590" s="1" t="s">
        <v>218</v>
      </c>
      <c r="M590" s="1">
        <v>10</v>
      </c>
      <c r="N590" s="1">
        <v>11323.52</v>
      </c>
    </row>
    <row r="591" spans="1:14" x14ac:dyDescent="0.25">
      <c r="A591" s="1">
        <v>1590</v>
      </c>
      <c r="B591" s="1" t="s">
        <v>412</v>
      </c>
      <c r="C591" s="1" t="s">
        <v>213</v>
      </c>
      <c r="D591" s="1" t="s">
        <v>220</v>
      </c>
      <c r="E591" s="1" t="s">
        <v>85</v>
      </c>
      <c r="F591" s="1" t="s">
        <v>230</v>
      </c>
      <c r="G591" s="1" t="s">
        <v>242</v>
      </c>
      <c r="H591" s="1" t="s">
        <v>234</v>
      </c>
      <c r="I591" s="1">
        <v>5</v>
      </c>
      <c r="J591" s="1">
        <v>19975</v>
      </c>
      <c r="K591" s="1">
        <v>84893.75</v>
      </c>
      <c r="L591" s="1" t="s">
        <v>218</v>
      </c>
      <c r="M591" s="1">
        <v>15</v>
      </c>
      <c r="N591" s="1">
        <v>17100.580000000002</v>
      </c>
    </row>
    <row r="592" spans="1:14" x14ac:dyDescent="0.25">
      <c r="A592" s="1">
        <v>1591</v>
      </c>
      <c r="B592" s="1" t="s">
        <v>413</v>
      </c>
      <c r="C592" s="1" t="s">
        <v>229</v>
      </c>
      <c r="D592" s="1" t="s">
        <v>224</v>
      </c>
      <c r="E592" s="1" t="s">
        <v>233</v>
      </c>
      <c r="F592" s="1" t="s">
        <v>230</v>
      </c>
      <c r="G592" s="1" t="s">
        <v>241</v>
      </c>
      <c r="H592" s="1" t="s">
        <v>128</v>
      </c>
      <c r="I592" s="1">
        <v>3</v>
      </c>
      <c r="J592" s="1">
        <v>46813</v>
      </c>
      <c r="K592" s="1">
        <v>133417.04999999999</v>
      </c>
      <c r="L592" s="1" t="s">
        <v>222</v>
      </c>
      <c r="M592" s="1">
        <v>5</v>
      </c>
      <c r="N592" s="1">
        <v>24014.04</v>
      </c>
    </row>
    <row r="593" spans="1:14" x14ac:dyDescent="0.25">
      <c r="A593" s="1">
        <v>1592</v>
      </c>
      <c r="B593" s="1" t="s">
        <v>413</v>
      </c>
      <c r="C593" s="1" t="s">
        <v>223</v>
      </c>
      <c r="D593" s="1" t="s">
        <v>220</v>
      </c>
      <c r="E593" s="1" t="s">
        <v>85</v>
      </c>
      <c r="F593" s="1" t="s">
        <v>230</v>
      </c>
      <c r="G593" s="1" t="s">
        <v>242</v>
      </c>
      <c r="H593" s="1" t="s">
        <v>221</v>
      </c>
      <c r="I593" s="1">
        <v>3</v>
      </c>
      <c r="J593" s="1">
        <v>35039</v>
      </c>
      <c r="K593" s="1">
        <v>105117</v>
      </c>
      <c r="L593" s="1" t="s">
        <v>218</v>
      </c>
      <c r="M593" s="1">
        <v>0</v>
      </c>
      <c r="N593" s="1">
        <v>24844.21</v>
      </c>
    </row>
    <row r="594" spans="1:14" x14ac:dyDescent="0.25">
      <c r="A594" s="1">
        <v>1593</v>
      </c>
      <c r="B594" s="1" t="s">
        <v>414</v>
      </c>
      <c r="C594" s="1" t="s">
        <v>239</v>
      </c>
      <c r="D594" s="1" t="s">
        <v>245</v>
      </c>
      <c r="E594" s="1" t="s">
        <v>124</v>
      </c>
      <c r="F594" s="1" t="s">
        <v>215</v>
      </c>
      <c r="G594" s="1" t="s">
        <v>246</v>
      </c>
      <c r="H594" s="1" t="s">
        <v>221</v>
      </c>
      <c r="I594" s="1">
        <v>5</v>
      </c>
      <c r="J594" s="1">
        <v>11705</v>
      </c>
      <c r="K594" s="1">
        <v>52672.5</v>
      </c>
      <c r="L594" s="1" t="s">
        <v>222</v>
      </c>
      <c r="M594" s="1">
        <v>10</v>
      </c>
      <c r="N594" s="1">
        <v>13646.91</v>
      </c>
    </row>
    <row r="595" spans="1:14" x14ac:dyDescent="0.25">
      <c r="A595" s="1">
        <v>1594</v>
      </c>
      <c r="B595" s="1" t="s">
        <v>414</v>
      </c>
      <c r="C595" s="1" t="s">
        <v>219</v>
      </c>
      <c r="D595" s="1" t="s">
        <v>232</v>
      </c>
      <c r="E595" s="1" t="s">
        <v>233</v>
      </c>
      <c r="F595" s="1" t="s">
        <v>230</v>
      </c>
      <c r="G595" s="1" t="s">
        <v>241</v>
      </c>
      <c r="H595" s="1" t="s">
        <v>221</v>
      </c>
      <c r="I595" s="1">
        <v>3</v>
      </c>
      <c r="J595" s="1">
        <v>811</v>
      </c>
      <c r="K595" s="1">
        <v>2068.0500000000002</v>
      </c>
      <c r="L595" s="1" t="s">
        <v>218</v>
      </c>
      <c r="M595" s="1">
        <v>15</v>
      </c>
      <c r="N595" s="1">
        <v>343.68</v>
      </c>
    </row>
    <row r="596" spans="1:14" x14ac:dyDescent="0.25">
      <c r="A596" s="1">
        <v>1595</v>
      </c>
      <c r="B596" s="1" t="s">
        <v>414</v>
      </c>
      <c r="C596" s="1" t="s">
        <v>219</v>
      </c>
      <c r="D596" s="1" t="s">
        <v>214</v>
      </c>
      <c r="E596" s="1" t="s">
        <v>124</v>
      </c>
      <c r="F596" s="1" t="s">
        <v>215</v>
      </c>
      <c r="G596" s="1" t="s">
        <v>216</v>
      </c>
      <c r="H596" s="1" t="s">
        <v>128</v>
      </c>
      <c r="I596" s="1">
        <v>5</v>
      </c>
      <c r="J596" s="1">
        <v>42460</v>
      </c>
      <c r="K596" s="1">
        <v>180455</v>
      </c>
      <c r="L596" s="1" t="s">
        <v>240</v>
      </c>
      <c r="M596" s="1">
        <v>15</v>
      </c>
      <c r="N596" s="1">
        <v>40798.9</v>
      </c>
    </row>
    <row r="597" spans="1:14" x14ac:dyDescent="0.25">
      <c r="A597" s="1">
        <v>1596</v>
      </c>
      <c r="B597" s="1" t="s">
        <v>414</v>
      </c>
      <c r="C597" s="1" t="s">
        <v>223</v>
      </c>
      <c r="D597" s="1" t="s">
        <v>224</v>
      </c>
      <c r="E597" s="1" t="s">
        <v>233</v>
      </c>
      <c r="F597" s="1" t="s">
        <v>215</v>
      </c>
      <c r="G597" s="1" t="s">
        <v>216</v>
      </c>
      <c r="H597" s="1" t="s">
        <v>128</v>
      </c>
      <c r="I597" s="1">
        <v>1</v>
      </c>
      <c r="J597" s="1">
        <v>35074</v>
      </c>
      <c r="K597" s="1">
        <v>31566.6</v>
      </c>
      <c r="L597" s="1" t="s">
        <v>240</v>
      </c>
      <c r="M597" s="1">
        <v>10</v>
      </c>
      <c r="N597" s="1">
        <v>7452.91</v>
      </c>
    </row>
    <row r="598" spans="1:14" x14ac:dyDescent="0.25">
      <c r="A598" s="1">
        <v>1597</v>
      </c>
      <c r="B598" s="1" t="s">
        <v>415</v>
      </c>
      <c r="C598" s="1" t="s">
        <v>229</v>
      </c>
      <c r="D598" s="1" t="s">
        <v>232</v>
      </c>
      <c r="E598" s="1" t="s">
        <v>233</v>
      </c>
      <c r="F598" s="1" t="s">
        <v>215</v>
      </c>
      <c r="G598" s="1" t="s">
        <v>244</v>
      </c>
      <c r="H598" s="1" t="s">
        <v>234</v>
      </c>
      <c r="I598" s="1">
        <v>5</v>
      </c>
      <c r="J598" s="1">
        <v>12754</v>
      </c>
      <c r="K598" s="1">
        <v>60581.5</v>
      </c>
      <c r="L598" s="1" t="s">
        <v>218</v>
      </c>
      <c r="M598" s="1">
        <v>5</v>
      </c>
      <c r="N598" s="1">
        <v>12137.89</v>
      </c>
    </row>
    <row r="599" spans="1:14" x14ac:dyDescent="0.25">
      <c r="A599" s="1">
        <v>1598</v>
      </c>
      <c r="B599" s="1" t="s">
        <v>415</v>
      </c>
      <c r="C599" s="1" t="s">
        <v>239</v>
      </c>
      <c r="D599" s="1" t="s">
        <v>224</v>
      </c>
      <c r="E599" s="1" t="s">
        <v>233</v>
      </c>
      <c r="F599" s="1" t="s">
        <v>230</v>
      </c>
      <c r="G599" s="1" t="s">
        <v>231</v>
      </c>
      <c r="H599" s="1" t="s">
        <v>217</v>
      </c>
      <c r="I599" s="1">
        <v>2</v>
      </c>
      <c r="J599" s="1">
        <v>36627</v>
      </c>
      <c r="K599" s="1">
        <v>69591.3</v>
      </c>
      <c r="L599" s="1" t="s">
        <v>218</v>
      </c>
      <c r="M599" s="1">
        <v>5</v>
      </c>
      <c r="N599" s="1">
        <v>13449.14</v>
      </c>
    </row>
    <row r="600" spans="1:14" x14ac:dyDescent="0.25">
      <c r="A600" s="1">
        <v>1599</v>
      </c>
      <c r="B600" s="1" t="s">
        <v>415</v>
      </c>
      <c r="C600" s="1" t="s">
        <v>219</v>
      </c>
      <c r="D600" s="1" t="s">
        <v>214</v>
      </c>
      <c r="E600" s="1" t="s">
        <v>124</v>
      </c>
      <c r="F600" s="1" t="s">
        <v>215</v>
      </c>
      <c r="G600" s="1" t="s">
        <v>216</v>
      </c>
      <c r="H600" s="1" t="s">
        <v>221</v>
      </c>
      <c r="I600" s="1">
        <v>4</v>
      </c>
      <c r="J600" s="1">
        <v>5949</v>
      </c>
      <c r="K600" s="1">
        <v>21416.400000000001</v>
      </c>
      <c r="L600" s="1" t="s">
        <v>218</v>
      </c>
      <c r="M600" s="1">
        <v>10</v>
      </c>
      <c r="N600" s="1">
        <v>4647.42</v>
      </c>
    </row>
    <row r="601" spans="1:14" x14ac:dyDescent="0.25">
      <c r="A601" s="1">
        <v>1600</v>
      </c>
      <c r="B601" s="1" t="s">
        <v>415</v>
      </c>
      <c r="C601" s="1" t="s">
        <v>213</v>
      </c>
      <c r="D601" s="1" t="s">
        <v>214</v>
      </c>
      <c r="E601" s="1" t="s">
        <v>124</v>
      </c>
      <c r="F601" s="1" t="s">
        <v>230</v>
      </c>
      <c r="G601" s="1" t="s">
        <v>242</v>
      </c>
      <c r="H601" s="1" t="s">
        <v>234</v>
      </c>
      <c r="I601" s="1">
        <v>1</v>
      </c>
      <c r="J601" s="1">
        <v>2908</v>
      </c>
      <c r="K601" s="1">
        <v>2617.1999999999998</v>
      </c>
      <c r="L601" s="1" t="s">
        <v>227</v>
      </c>
      <c r="M601" s="1">
        <v>10</v>
      </c>
      <c r="N601" s="1">
        <v>676.01</v>
      </c>
    </row>
    <row r="602" spans="1:14" x14ac:dyDescent="0.25">
      <c r="A602" s="1">
        <v>1601</v>
      </c>
      <c r="B602" s="1" t="s">
        <v>416</v>
      </c>
      <c r="C602" s="1" t="s">
        <v>213</v>
      </c>
      <c r="D602" s="1" t="s">
        <v>245</v>
      </c>
      <c r="E602" s="1" t="s">
        <v>124</v>
      </c>
      <c r="F602" s="1" t="s">
        <v>225</v>
      </c>
      <c r="G602" s="1" t="s">
        <v>236</v>
      </c>
      <c r="H602" s="1" t="s">
        <v>128</v>
      </c>
      <c r="I602" s="1">
        <v>1</v>
      </c>
      <c r="J602" s="1">
        <v>5955</v>
      </c>
      <c r="K602" s="1">
        <v>5359.5</v>
      </c>
      <c r="L602" s="1" t="s">
        <v>218</v>
      </c>
      <c r="M602" s="1">
        <v>10</v>
      </c>
      <c r="N602" s="1">
        <v>716.56</v>
      </c>
    </row>
    <row r="603" spans="1:14" x14ac:dyDescent="0.25">
      <c r="A603" s="1">
        <v>1602</v>
      </c>
      <c r="B603" s="1" t="s">
        <v>416</v>
      </c>
      <c r="C603" s="1" t="s">
        <v>223</v>
      </c>
      <c r="D603" s="1" t="s">
        <v>220</v>
      </c>
      <c r="E603" s="1" t="s">
        <v>85</v>
      </c>
      <c r="F603" s="1" t="s">
        <v>225</v>
      </c>
      <c r="G603" s="1" t="s">
        <v>226</v>
      </c>
      <c r="H603" s="1" t="s">
        <v>128</v>
      </c>
      <c r="I603" s="1">
        <v>5</v>
      </c>
      <c r="J603" s="1">
        <v>27383</v>
      </c>
      <c r="K603" s="1">
        <v>136915</v>
      </c>
      <c r="L603" s="1" t="s">
        <v>222</v>
      </c>
      <c r="M603" s="1">
        <v>0</v>
      </c>
      <c r="N603" s="1">
        <v>29252.560000000001</v>
      </c>
    </row>
    <row r="604" spans="1:14" x14ac:dyDescent="0.25">
      <c r="A604" s="1">
        <v>1603</v>
      </c>
      <c r="B604" s="1" t="s">
        <v>416</v>
      </c>
      <c r="C604" s="1" t="s">
        <v>239</v>
      </c>
      <c r="D604" s="1" t="s">
        <v>224</v>
      </c>
      <c r="E604" s="1" t="s">
        <v>233</v>
      </c>
      <c r="F604" s="1" t="s">
        <v>225</v>
      </c>
      <c r="G604" s="1" t="s">
        <v>236</v>
      </c>
      <c r="H604" s="1" t="s">
        <v>221</v>
      </c>
      <c r="I604" s="1">
        <v>1</v>
      </c>
      <c r="J604" s="1">
        <v>6147</v>
      </c>
      <c r="K604" s="1">
        <v>5532.3</v>
      </c>
      <c r="L604" s="1" t="s">
        <v>218</v>
      </c>
      <c r="M604" s="1">
        <v>10</v>
      </c>
      <c r="N604" s="1">
        <v>1385.57</v>
      </c>
    </row>
    <row r="605" spans="1:14" x14ac:dyDescent="0.25">
      <c r="A605" s="1">
        <v>1604</v>
      </c>
      <c r="B605" s="1" t="s">
        <v>416</v>
      </c>
      <c r="C605" s="1" t="s">
        <v>229</v>
      </c>
      <c r="D605" s="1" t="s">
        <v>224</v>
      </c>
      <c r="E605" s="1" t="s">
        <v>233</v>
      </c>
      <c r="F605" s="1" t="s">
        <v>225</v>
      </c>
      <c r="G605" s="1" t="s">
        <v>226</v>
      </c>
      <c r="H605" s="1" t="s">
        <v>221</v>
      </c>
      <c r="I605" s="1">
        <v>4</v>
      </c>
      <c r="J605" s="1">
        <v>675</v>
      </c>
      <c r="K605" s="1">
        <v>2565</v>
      </c>
      <c r="L605" s="1" t="s">
        <v>222</v>
      </c>
      <c r="M605" s="1">
        <v>5</v>
      </c>
      <c r="N605" s="1">
        <v>506.31</v>
      </c>
    </row>
    <row r="606" spans="1:14" x14ac:dyDescent="0.25">
      <c r="A606" s="1">
        <v>1605</v>
      </c>
      <c r="B606" s="1" t="s">
        <v>417</v>
      </c>
      <c r="C606" s="1" t="s">
        <v>229</v>
      </c>
      <c r="D606" s="1" t="s">
        <v>245</v>
      </c>
      <c r="E606" s="1" t="s">
        <v>124</v>
      </c>
      <c r="F606" s="1" t="s">
        <v>215</v>
      </c>
      <c r="G606" s="1" t="s">
        <v>216</v>
      </c>
      <c r="H606" s="1" t="s">
        <v>221</v>
      </c>
      <c r="I606" s="1">
        <v>1</v>
      </c>
      <c r="J606" s="1">
        <v>22982</v>
      </c>
      <c r="K606" s="1">
        <v>22982</v>
      </c>
      <c r="L606" s="1" t="s">
        <v>240</v>
      </c>
      <c r="M606" s="1">
        <v>0</v>
      </c>
      <c r="N606" s="1">
        <v>5416.22</v>
      </c>
    </row>
    <row r="607" spans="1:14" x14ac:dyDescent="0.25">
      <c r="A607" s="1">
        <v>1606</v>
      </c>
      <c r="B607" s="1" t="s">
        <v>417</v>
      </c>
      <c r="C607" s="1" t="s">
        <v>219</v>
      </c>
      <c r="D607" s="1" t="s">
        <v>232</v>
      </c>
      <c r="E607" s="1" t="s">
        <v>233</v>
      </c>
      <c r="F607" s="1" t="s">
        <v>215</v>
      </c>
      <c r="G607" s="1" t="s">
        <v>216</v>
      </c>
      <c r="H607" s="1" t="s">
        <v>217</v>
      </c>
      <c r="I607" s="1">
        <v>5</v>
      </c>
      <c r="J607" s="1">
        <v>31062</v>
      </c>
      <c r="K607" s="1">
        <v>132013.5</v>
      </c>
      <c r="L607" s="1" t="s">
        <v>227</v>
      </c>
      <c r="M607" s="1">
        <v>15</v>
      </c>
      <c r="N607" s="1">
        <v>32063.34</v>
      </c>
    </row>
    <row r="608" spans="1:14" x14ac:dyDescent="0.25">
      <c r="A608" s="1">
        <v>1607</v>
      </c>
      <c r="B608" s="1" t="s">
        <v>417</v>
      </c>
      <c r="C608" s="1" t="s">
        <v>239</v>
      </c>
      <c r="D608" s="1" t="s">
        <v>224</v>
      </c>
      <c r="E608" s="1" t="s">
        <v>233</v>
      </c>
      <c r="F608" s="1" t="s">
        <v>230</v>
      </c>
      <c r="G608" s="1" t="s">
        <v>231</v>
      </c>
      <c r="H608" s="1" t="s">
        <v>234</v>
      </c>
      <c r="I608" s="1">
        <v>5</v>
      </c>
      <c r="J608" s="1">
        <v>9234</v>
      </c>
      <c r="K608" s="1">
        <v>39244.5</v>
      </c>
      <c r="L608" s="1" t="s">
        <v>227</v>
      </c>
      <c r="M608" s="1">
        <v>15</v>
      </c>
      <c r="N608" s="1">
        <v>11430.69</v>
      </c>
    </row>
    <row r="609" spans="1:14" x14ac:dyDescent="0.25">
      <c r="A609" s="1">
        <v>1608</v>
      </c>
      <c r="B609" s="1" t="s">
        <v>418</v>
      </c>
      <c r="C609" s="1" t="s">
        <v>239</v>
      </c>
      <c r="D609" s="1" t="s">
        <v>245</v>
      </c>
      <c r="E609" s="1" t="s">
        <v>124</v>
      </c>
      <c r="F609" s="1" t="s">
        <v>215</v>
      </c>
      <c r="G609" s="1" t="s">
        <v>246</v>
      </c>
      <c r="H609" s="1" t="s">
        <v>217</v>
      </c>
      <c r="I609" s="1">
        <v>3</v>
      </c>
      <c r="J609" s="1">
        <v>14551</v>
      </c>
      <c r="K609" s="1">
        <v>39287.699999999997</v>
      </c>
      <c r="L609" s="1" t="s">
        <v>218</v>
      </c>
      <c r="M609" s="1">
        <v>10</v>
      </c>
      <c r="N609" s="1">
        <v>11459.56</v>
      </c>
    </row>
    <row r="610" spans="1:14" x14ac:dyDescent="0.25">
      <c r="A610" s="1">
        <v>1609</v>
      </c>
      <c r="B610" s="1" t="s">
        <v>418</v>
      </c>
      <c r="C610" s="1" t="s">
        <v>219</v>
      </c>
      <c r="D610" s="1" t="s">
        <v>245</v>
      </c>
      <c r="E610" s="1" t="s">
        <v>124</v>
      </c>
      <c r="F610" s="1" t="s">
        <v>215</v>
      </c>
      <c r="G610" s="1" t="s">
        <v>246</v>
      </c>
      <c r="H610" s="1" t="s">
        <v>217</v>
      </c>
      <c r="I610" s="1">
        <v>3</v>
      </c>
      <c r="J610" s="1">
        <v>31842</v>
      </c>
      <c r="K610" s="1">
        <v>90749.7</v>
      </c>
      <c r="L610" s="1" t="s">
        <v>222</v>
      </c>
      <c r="M610" s="1">
        <v>5</v>
      </c>
      <c r="N610" s="1">
        <v>26548.94</v>
      </c>
    </row>
    <row r="611" spans="1:14" x14ac:dyDescent="0.25">
      <c r="A611" s="1">
        <v>1610</v>
      </c>
      <c r="B611" s="1" t="s">
        <v>418</v>
      </c>
      <c r="C611" s="1" t="s">
        <v>239</v>
      </c>
      <c r="D611" s="1" t="s">
        <v>220</v>
      </c>
      <c r="E611" s="1" t="s">
        <v>85</v>
      </c>
      <c r="F611" s="1" t="s">
        <v>215</v>
      </c>
      <c r="G611" s="1" t="s">
        <v>216</v>
      </c>
      <c r="H611" s="1" t="s">
        <v>217</v>
      </c>
      <c r="I611" s="1">
        <v>1</v>
      </c>
      <c r="J611" s="1">
        <v>31937</v>
      </c>
      <c r="K611" s="1">
        <v>30340.15</v>
      </c>
      <c r="L611" s="1" t="s">
        <v>240</v>
      </c>
      <c r="M611" s="1">
        <v>5</v>
      </c>
      <c r="N611" s="1">
        <v>5447.17</v>
      </c>
    </row>
    <row r="612" spans="1:14" x14ac:dyDescent="0.25">
      <c r="A612" s="1">
        <v>1611</v>
      </c>
      <c r="B612" s="1" t="s">
        <v>419</v>
      </c>
      <c r="C612" s="1" t="s">
        <v>219</v>
      </c>
      <c r="D612" s="1" t="s">
        <v>214</v>
      </c>
      <c r="E612" s="1" t="s">
        <v>124</v>
      </c>
      <c r="F612" s="1" t="s">
        <v>215</v>
      </c>
      <c r="G612" s="1" t="s">
        <v>246</v>
      </c>
      <c r="H612" s="1" t="s">
        <v>234</v>
      </c>
      <c r="I612" s="1">
        <v>5</v>
      </c>
      <c r="J612" s="1">
        <v>22773</v>
      </c>
      <c r="K612" s="1">
        <v>96785.25</v>
      </c>
      <c r="L612" s="1" t="s">
        <v>240</v>
      </c>
      <c r="M612" s="1">
        <v>15</v>
      </c>
      <c r="N612" s="1">
        <v>13457.17</v>
      </c>
    </row>
    <row r="613" spans="1:14" x14ac:dyDescent="0.25">
      <c r="A613" s="1">
        <v>1612</v>
      </c>
      <c r="B613" s="1" t="s">
        <v>419</v>
      </c>
      <c r="C613" s="1" t="s">
        <v>239</v>
      </c>
      <c r="D613" s="1" t="s">
        <v>224</v>
      </c>
      <c r="E613" s="1" t="s">
        <v>233</v>
      </c>
      <c r="F613" s="1" t="s">
        <v>225</v>
      </c>
      <c r="G613" s="1" t="s">
        <v>236</v>
      </c>
      <c r="H613" s="1" t="s">
        <v>221</v>
      </c>
      <c r="I613" s="1">
        <v>4</v>
      </c>
      <c r="J613" s="1">
        <v>41270</v>
      </c>
      <c r="K613" s="1">
        <v>156826</v>
      </c>
      <c r="L613" s="1" t="s">
        <v>227</v>
      </c>
      <c r="M613" s="1">
        <v>5</v>
      </c>
      <c r="N613" s="1">
        <v>46318.64</v>
      </c>
    </row>
    <row r="614" spans="1:14" x14ac:dyDescent="0.25">
      <c r="A614" s="1">
        <v>1613</v>
      </c>
      <c r="B614" s="1" t="s">
        <v>419</v>
      </c>
      <c r="C614" s="1" t="s">
        <v>219</v>
      </c>
      <c r="D614" s="1" t="s">
        <v>245</v>
      </c>
      <c r="E614" s="1" t="s">
        <v>124</v>
      </c>
      <c r="F614" s="1" t="s">
        <v>215</v>
      </c>
      <c r="G614" s="1" t="s">
        <v>216</v>
      </c>
      <c r="H614" s="1" t="s">
        <v>128</v>
      </c>
      <c r="I614" s="1">
        <v>3</v>
      </c>
      <c r="J614" s="1">
        <v>10107</v>
      </c>
      <c r="K614" s="1">
        <v>27288.9</v>
      </c>
      <c r="L614" s="1" t="s">
        <v>227</v>
      </c>
      <c r="M614" s="1">
        <v>10</v>
      </c>
      <c r="N614" s="1">
        <v>4592.1099999999997</v>
      </c>
    </row>
    <row r="615" spans="1:14" x14ac:dyDescent="0.25">
      <c r="A615" s="1">
        <v>1614</v>
      </c>
      <c r="B615" s="1" t="s">
        <v>419</v>
      </c>
      <c r="C615" s="1" t="s">
        <v>213</v>
      </c>
      <c r="D615" s="1" t="s">
        <v>220</v>
      </c>
      <c r="E615" s="1" t="s">
        <v>85</v>
      </c>
      <c r="F615" s="1" t="s">
        <v>215</v>
      </c>
      <c r="G615" s="1" t="s">
        <v>216</v>
      </c>
      <c r="H615" s="1" t="s">
        <v>128</v>
      </c>
      <c r="I615" s="1">
        <v>1</v>
      </c>
      <c r="J615" s="1">
        <v>18705</v>
      </c>
      <c r="K615" s="1">
        <v>17769.75</v>
      </c>
      <c r="L615" s="1" t="s">
        <v>227</v>
      </c>
      <c r="M615" s="1">
        <v>5</v>
      </c>
      <c r="N615" s="1">
        <v>4660.37</v>
      </c>
    </row>
    <row r="616" spans="1:14" x14ac:dyDescent="0.25">
      <c r="A616" s="1">
        <v>1615</v>
      </c>
      <c r="B616" s="1" t="s">
        <v>420</v>
      </c>
      <c r="C616" s="1" t="s">
        <v>219</v>
      </c>
      <c r="D616" s="1" t="s">
        <v>214</v>
      </c>
      <c r="E616" s="1" t="s">
        <v>124</v>
      </c>
      <c r="F616" s="1" t="s">
        <v>230</v>
      </c>
      <c r="G616" s="1" t="s">
        <v>241</v>
      </c>
      <c r="H616" s="1" t="s">
        <v>128</v>
      </c>
      <c r="I616" s="1">
        <v>4</v>
      </c>
      <c r="J616" s="1">
        <v>15373</v>
      </c>
      <c r="K616" s="1">
        <v>61492</v>
      </c>
      <c r="L616" s="1" t="s">
        <v>227</v>
      </c>
      <c r="M616" s="1">
        <v>0</v>
      </c>
      <c r="N616" s="1">
        <v>8998.3700000000008</v>
      </c>
    </row>
    <row r="617" spans="1:14" x14ac:dyDescent="0.25">
      <c r="A617" s="1">
        <v>1616</v>
      </c>
      <c r="B617" s="1" t="s">
        <v>420</v>
      </c>
      <c r="C617" s="1" t="s">
        <v>213</v>
      </c>
      <c r="D617" s="1" t="s">
        <v>232</v>
      </c>
      <c r="E617" s="1" t="s">
        <v>233</v>
      </c>
      <c r="F617" s="1" t="s">
        <v>225</v>
      </c>
      <c r="G617" s="1" t="s">
        <v>236</v>
      </c>
      <c r="H617" s="1" t="s">
        <v>221</v>
      </c>
      <c r="I617" s="1">
        <v>1</v>
      </c>
      <c r="J617" s="1">
        <v>27205</v>
      </c>
      <c r="K617" s="1">
        <v>25844.75</v>
      </c>
      <c r="L617" s="1" t="s">
        <v>222</v>
      </c>
      <c r="M617" s="1">
        <v>5</v>
      </c>
      <c r="N617" s="1">
        <v>3323.47</v>
      </c>
    </row>
    <row r="618" spans="1:14" x14ac:dyDescent="0.25">
      <c r="A618" s="1">
        <v>1617</v>
      </c>
      <c r="B618" s="1" t="s">
        <v>420</v>
      </c>
      <c r="C618" s="1" t="s">
        <v>213</v>
      </c>
      <c r="D618" s="1" t="s">
        <v>220</v>
      </c>
      <c r="E618" s="1" t="s">
        <v>85</v>
      </c>
      <c r="F618" s="1" t="s">
        <v>225</v>
      </c>
      <c r="G618" s="1" t="s">
        <v>236</v>
      </c>
      <c r="H618" s="1" t="s">
        <v>234</v>
      </c>
      <c r="I618" s="1">
        <v>4</v>
      </c>
      <c r="J618" s="1">
        <v>3903</v>
      </c>
      <c r="K618" s="1">
        <v>14831.4</v>
      </c>
      <c r="L618" s="1" t="s">
        <v>222</v>
      </c>
      <c r="M618" s="1">
        <v>5</v>
      </c>
      <c r="N618" s="1">
        <v>4261.83</v>
      </c>
    </row>
    <row r="619" spans="1:14" x14ac:dyDescent="0.25">
      <c r="A619" s="1">
        <v>1618</v>
      </c>
      <c r="B619" s="1" t="s">
        <v>421</v>
      </c>
      <c r="C619" s="1" t="s">
        <v>229</v>
      </c>
      <c r="D619" s="1" t="s">
        <v>224</v>
      </c>
      <c r="E619" s="1" t="s">
        <v>233</v>
      </c>
      <c r="F619" s="1" t="s">
        <v>225</v>
      </c>
      <c r="G619" s="1" t="s">
        <v>236</v>
      </c>
      <c r="H619" s="1" t="s">
        <v>221</v>
      </c>
      <c r="I619" s="1">
        <v>2</v>
      </c>
      <c r="J619" s="1">
        <v>9455</v>
      </c>
      <c r="K619" s="1">
        <v>17964.5</v>
      </c>
      <c r="L619" s="1" t="s">
        <v>240</v>
      </c>
      <c r="M619" s="1">
        <v>5</v>
      </c>
      <c r="N619" s="1">
        <v>4842.13</v>
      </c>
    </row>
    <row r="620" spans="1:14" x14ac:dyDescent="0.25">
      <c r="A620" s="1">
        <v>1619</v>
      </c>
      <c r="B620" s="1" t="s">
        <v>421</v>
      </c>
      <c r="C620" s="1" t="s">
        <v>219</v>
      </c>
      <c r="D620" s="1" t="s">
        <v>214</v>
      </c>
      <c r="E620" s="1" t="s">
        <v>124</v>
      </c>
      <c r="F620" s="1" t="s">
        <v>225</v>
      </c>
      <c r="G620" s="1" t="s">
        <v>226</v>
      </c>
      <c r="H620" s="1" t="s">
        <v>221</v>
      </c>
      <c r="I620" s="1">
        <v>3</v>
      </c>
      <c r="J620" s="1">
        <v>8280</v>
      </c>
      <c r="K620" s="1">
        <v>23598</v>
      </c>
      <c r="L620" s="1" t="s">
        <v>218</v>
      </c>
      <c r="M620" s="1">
        <v>5</v>
      </c>
      <c r="N620" s="1">
        <v>5917.61</v>
      </c>
    </row>
    <row r="621" spans="1:14" x14ac:dyDescent="0.25">
      <c r="A621" s="1">
        <v>1620</v>
      </c>
      <c r="B621" s="1" t="s">
        <v>421</v>
      </c>
      <c r="C621" s="1" t="s">
        <v>213</v>
      </c>
      <c r="D621" s="1" t="s">
        <v>224</v>
      </c>
      <c r="E621" s="1" t="s">
        <v>233</v>
      </c>
      <c r="F621" s="1" t="s">
        <v>225</v>
      </c>
      <c r="G621" s="1" t="s">
        <v>248</v>
      </c>
      <c r="H621" s="1" t="s">
        <v>221</v>
      </c>
      <c r="I621" s="1">
        <v>1</v>
      </c>
      <c r="J621" s="1">
        <v>10989</v>
      </c>
      <c r="K621" s="1">
        <v>10989</v>
      </c>
      <c r="L621" s="1" t="s">
        <v>222</v>
      </c>
      <c r="M621" s="1">
        <v>0</v>
      </c>
      <c r="N621" s="1">
        <v>2527.73</v>
      </c>
    </row>
    <row r="622" spans="1:14" x14ac:dyDescent="0.25">
      <c r="A622" s="1">
        <v>1621</v>
      </c>
      <c r="B622" s="1" t="s">
        <v>422</v>
      </c>
      <c r="C622" s="1" t="s">
        <v>223</v>
      </c>
      <c r="D622" s="1" t="s">
        <v>245</v>
      </c>
      <c r="E622" s="1" t="s">
        <v>124</v>
      </c>
      <c r="F622" s="1" t="s">
        <v>215</v>
      </c>
      <c r="G622" s="1" t="s">
        <v>216</v>
      </c>
      <c r="H622" s="1" t="s">
        <v>221</v>
      </c>
      <c r="I622" s="1">
        <v>3</v>
      </c>
      <c r="J622" s="1">
        <v>9736</v>
      </c>
      <c r="K622" s="1">
        <v>24826.799999999999</v>
      </c>
      <c r="L622" s="1" t="s">
        <v>227</v>
      </c>
      <c r="M622" s="1">
        <v>15</v>
      </c>
      <c r="N622" s="1">
        <v>4597.03</v>
      </c>
    </row>
    <row r="623" spans="1:14" x14ac:dyDescent="0.25">
      <c r="A623" s="1">
        <v>1622</v>
      </c>
      <c r="B623" s="1" t="s">
        <v>422</v>
      </c>
      <c r="C623" s="1" t="s">
        <v>219</v>
      </c>
      <c r="D623" s="1" t="s">
        <v>232</v>
      </c>
      <c r="E623" s="1" t="s">
        <v>233</v>
      </c>
      <c r="F623" s="1" t="s">
        <v>215</v>
      </c>
      <c r="G623" s="1" t="s">
        <v>246</v>
      </c>
      <c r="H623" s="1" t="s">
        <v>217</v>
      </c>
      <c r="I623" s="1">
        <v>2</v>
      </c>
      <c r="J623" s="1">
        <v>6839</v>
      </c>
      <c r="K623" s="1">
        <v>12310.2</v>
      </c>
      <c r="L623" s="1" t="s">
        <v>218</v>
      </c>
      <c r="M623" s="1">
        <v>10</v>
      </c>
      <c r="N623" s="1">
        <v>2854.4</v>
      </c>
    </row>
    <row r="624" spans="1:14" x14ac:dyDescent="0.25">
      <c r="A624" s="1">
        <v>1623</v>
      </c>
      <c r="B624" s="1" t="s">
        <v>422</v>
      </c>
      <c r="C624" s="1" t="s">
        <v>219</v>
      </c>
      <c r="D624" s="1" t="s">
        <v>214</v>
      </c>
      <c r="E624" s="1" t="s">
        <v>124</v>
      </c>
      <c r="F624" s="1" t="s">
        <v>225</v>
      </c>
      <c r="G624" s="1" t="s">
        <v>248</v>
      </c>
      <c r="H624" s="1" t="s">
        <v>221</v>
      </c>
      <c r="I624" s="1">
        <v>2</v>
      </c>
      <c r="J624" s="1">
        <v>37097</v>
      </c>
      <c r="K624" s="1">
        <v>74194</v>
      </c>
      <c r="L624" s="1" t="s">
        <v>218</v>
      </c>
      <c r="M624" s="1">
        <v>0</v>
      </c>
      <c r="N624" s="1">
        <v>19107.189999999999</v>
      </c>
    </row>
    <row r="625" spans="1:14" x14ac:dyDescent="0.25">
      <c r="A625" s="1">
        <v>1624</v>
      </c>
      <c r="B625" s="1" t="s">
        <v>422</v>
      </c>
      <c r="C625" s="1" t="s">
        <v>219</v>
      </c>
      <c r="D625" s="1" t="s">
        <v>232</v>
      </c>
      <c r="E625" s="1" t="s">
        <v>233</v>
      </c>
      <c r="F625" s="1" t="s">
        <v>225</v>
      </c>
      <c r="G625" s="1" t="s">
        <v>236</v>
      </c>
      <c r="H625" s="1" t="s">
        <v>128</v>
      </c>
      <c r="I625" s="1">
        <v>3</v>
      </c>
      <c r="J625" s="1">
        <v>16965</v>
      </c>
      <c r="K625" s="1">
        <v>43260.75</v>
      </c>
      <c r="L625" s="1" t="s">
        <v>227</v>
      </c>
      <c r="M625" s="1">
        <v>15</v>
      </c>
      <c r="N625" s="1">
        <v>11770.27</v>
      </c>
    </row>
    <row r="626" spans="1:14" x14ac:dyDescent="0.25">
      <c r="A626" s="1">
        <v>1625</v>
      </c>
      <c r="B626" s="1" t="s">
        <v>423</v>
      </c>
      <c r="C626" s="1" t="s">
        <v>213</v>
      </c>
      <c r="D626" s="1" t="s">
        <v>224</v>
      </c>
      <c r="E626" s="1" t="s">
        <v>233</v>
      </c>
      <c r="F626" s="1" t="s">
        <v>230</v>
      </c>
      <c r="G626" s="1" t="s">
        <v>241</v>
      </c>
      <c r="H626" s="1" t="s">
        <v>128</v>
      </c>
      <c r="I626" s="1">
        <v>2</v>
      </c>
      <c r="J626" s="1">
        <v>33531</v>
      </c>
      <c r="K626" s="1">
        <v>57002.7</v>
      </c>
      <c r="L626" s="1" t="s">
        <v>222</v>
      </c>
      <c r="M626" s="1">
        <v>15</v>
      </c>
      <c r="N626" s="1">
        <v>16382.17</v>
      </c>
    </row>
    <row r="627" spans="1:14" x14ac:dyDescent="0.25">
      <c r="A627" s="1">
        <v>1626</v>
      </c>
      <c r="B627" s="1" t="s">
        <v>423</v>
      </c>
      <c r="C627" s="1" t="s">
        <v>229</v>
      </c>
      <c r="D627" s="1" t="s">
        <v>245</v>
      </c>
      <c r="E627" s="1" t="s">
        <v>124</v>
      </c>
      <c r="F627" s="1" t="s">
        <v>230</v>
      </c>
      <c r="G627" s="1" t="s">
        <v>242</v>
      </c>
      <c r="H627" s="1" t="s">
        <v>128</v>
      </c>
      <c r="I627" s="1">
        <v>1</v>
      </c>
      <c r="J627" s="1">
        <v>2034</v>
      </c>
      <c r="K627" s="1">
        <v>2034</v>
      </c>
      <c r="L627" s="1" t="s">
        <v>218</v>
      </c>
      <c r="M627" s="1">
        <v>0</v>
      </c>
      <c r="N627" s="1">
        <v>573.71</v>
      </c>
    </row>
    <row r="628" spans="1:14" x14ac:dyDescent="0.25">
      <c r="A628" s="1">
        <v>1627</v>
      </c>
      <c r="B628" s="1" t="s">
        <v>424</v>
      </c>
      <c r="C628" s="1" t="s">
        <v>223</v>
      </c>
      <c r="D628" s="1" t="s">
        <v>224</v>
      </c>
      <c r="E628" s="1" t="s">
        <v>233</v>
      </c>
      <c r="F628" s="1" t="s">
        <v>225</v>
      </c>
      <c r="G628" s="1" t="s">
        <v>226</v>
      </c>
      <c r="H628" s="1" t="s">
        <v>221</v>
      </c>
      <c r="I628" s="1">
        <v>4</v>
      </c>
      <c r="J628" s="1">
        <v>46969</v>
      </c>
      <c r="K628" s="1">
        <v>159694.6</v>
      </c>
      <c r="L628" s="1" t="s">
        <v>240</v>
      </c>
      <c r="M628" s="1">
        <v>15</v>
      </c>
      <c r="N628" s="1">
        <v>41466.74</v>
      </c>
    </row>
    <row r="629" spans="1:14" x14ac:dyDescent="0.25">
      <c r="A629" s="1">
        <v>1628</v>
      </c>
      <c r="B629" s="1" t="s">
        <v>424</v>
      </c>
      <c r="C629" s="1" t="s">
        <v>229</v>
      </c>
      <c r="D629" s="1" t="s">
        <v>224</v>
      </c>
      <c r="E629" s="1" t="s">
        <v>233</v>
      </c>
      <c r="F629" s="1" t="s">
        <v>225</v>
      </c>
      <c r="G629" s="1" t="s">
        <v>236</v>
      </c>
      <c r="H629" s="1" t="s">
        <v>221</v>
      </c>
      <c r="I629" s="1">
        <v>1</v>
      </c>
      <c r="J629" s="1">
        <v>43839</v>
      </c>
      <c r="K629" s="1">
        <v>43839</v>
      </c>
      <c r="L629" s="1" t="s">
        <v>240</v>
      </c>
      <c r="M629" s="1">
        <v>0</v>
      </c>
      <c r="N629" s="1">
        <v>6816.05</v>
      </c>
    </row>
    <row r="630" spans="1:14" x14ac:dyDescent="0.25">
      <c r="A630" s="1">
        <v>1629</v>
      </c>
      <c r="B630" s="1" t="s">
        <v>424</v>
      </c>
      <c r="C630" s="1" t="s">
        <v>223</v>
      </c>
      <c r="D630" s="1" t="s">
        <v>214</v>
      </c>
      <c r="E630" s="1" t="s">
        <v>124</v>
      </c>
      <c r="F630" s="1" t="s">
        <v>215</v>
      </c>
      <c r="G630" s="1" t="s">
        <v>244</v>
      </c>
      <c r="H630" s="1" t="s">
        <v>217</v>
      </c>
      <c r="I630" s="1">
        <v>3</v>
      </c>
      <c r="J630" s="1">
        <v>25473</v>
      </c>
      <c r="K630" s="1">
        <v>68777.100000000006</v>
      </c>
      <c r="L630" s="1" t="s">
        <v>240</v>
      </c>
      <c r="M630" s="1">
        <v>10</v>
      </c>
      <c r="N630" s="1">
        <v>17315.22</v>
      </c>
    </row>
    <row r="631" spans="1:14" x14ac:dyDescent="0.25">
      <c r="A631" s="1">
        <v>1630</v>
      </c>
      <c r="B631" s="1" t="s">
        <v>424</v>
      </c>
      <c r="C631" s="1" t="s">
        <v>223</v>
      </c>
      <c r="D631" s="1" t="s">
        <v>214</v>
      </c>
      <c r="E631" s="1" t="s">
        <v>124</v>
      </c>
      <c r="F631" s="1" t="s">
        <v>215</v>
      </c>
      <c r="G631" s="1" t="s">
        <v>216</v>
      </c>
      <c r="H631" s="1" t="s">
        <v>221</v>
      </c>
      <c r="I631" s="1">
        <v>2</v>
      </c>
      <c r="J631" s="1">
        <v>3699</v>
      </c>
      <c r="K631" s="1">
        <v>7028.1</v>
      </c>
      <c r="L631" s="1" t="s">
        <v>227</v>
      </c>
      <c r="M631" s="1">
        <v>5</v>
      </c>
      <c r="N631" s="1">
        <v>795.27</v>
      </c>
    </row>
    <row r="632" spans="1:14" x14ac:dyDescent="0.25">
      <c r="A632" s="1">
        <v>1631</v>
      </c>
      <c r="B632" s="1" t="s">
        <v>424</v>
      </c>
      <c r="C632" s="1" t="s">
        <v>223</v>
      </c>
      <c r="D632" s="1" t="s">
        <v>245</v>
      </c>
      <c r="E632" s="1" t="s">
        <v>124</v>
      </c>
      <c r="F632" s="1" t="s">
        <v>230</v>
      </c>
      <c r="G632" s="1" t="s">
        <v>242</v>
      </c>
      <c r="H632" s="1" t="s">
        <v>128</v>
      </c>
      <c r="I632" s="1">
        <v>1</v>
      </c>
      <c r="J632" s="1">
        <v>48282</v>
      </c>
      <c r="K632" s="1">
        <v>45867.9</v>
      </c>
      <c r="L632" s="1" t="s">
        <v>222</v>
      </c>
      <c r="M632" s="1">
        <v>5</v>
      </c>
      <c r="N632" s="1">
        <v>7442.87</v>
      </c>
    </row>
    <row r="633" spans="1:14" x14ac:dyDescent="0.25">
      <c r="A633" s="1">
        <v>1632</v>
      </c>
      <c r="B633" s="1" t="s">
        <v>425</v>
      </c>
      <c r="C633" s="1" t="s">
        <v>239</v>
      </c>
      <c r="D633" s="1" t="s">
        <v>224</v>
      </c>
      <c r="E633" s="1" t="s">
        <v>233</v>
      </c>
      <c r="F633" s="1" t="s">
        <v>225</v>
      </c>
      <c r="G633" s="1" t="s">
        <v>226</v>
      </c>
      <c r="H633" s="1" t="s">
        <v>221</v>
      </c>
      <c r="I633" s="1">
        <v>3</v>
      </c>
      <c r="J633" s="1">
        <v>1663</v>
      </c>
      <c r="K633" s="1">
        <v>4240.6499999999996</v>
      </c>
      <c r="L633" s="1" t="s">
        <v>222</v>
      </c>
      <c r="M633" s="1">
        <v>15</v>
      </c>
      <c r="N633" s="1">
        <v>559.35</v>
      </c>
    </row>
    <row r="634" spans="1:14" x14ac:dyDescent="0.25">
      <c r="A634" s="1">
        <v>1633</v>
      </c>
      <c r="B634" s="1" t="s">
        <v>425</v>
      </c>
      <c r="C634" s="1" t="s">
        <v>239</v>
      </c>
      <c r="D634" s="1" t="s">
        <v>245</v>
      </c>
      <c r="E634" s="1" t="s">
        <v>124</v>
      </c>
      <c r="F634" s="1" t="s">
        <v>225</v>
      </c>
      <c r="G634" s="1" t="s">
        <v>248</v>
      </c>
      <c r="H634" s="1" t="s">
        <v>221</v>
      </c>
      <c r="I634" s="1">
        <v>4</v>
      </c>
      <c r="J634" s="1">
        <v>32950</v>
      </c>
      <c r="K634" s="1">
        <v>112030</v>
      </c>
      <c r="L634" s="1" t="s">
        <v>222</v>
      </c>
      <c r="M634" s="1">
        <v>15</v>
      </c>
      <c r="N634" s="1">
        <v>26695.89</v>
      </c>
    </row>
    <row r="635" spans="1:14" x14ac:dyDescent="0.25">
      <c r="A635" s="1">
        <v>1634</v>
      </c>
      <c r="B635" s="1" t="s">
        <v>425</v>
      </c>
      <c r="C635" s="1" t="s">
        <v>223</v>
      </c>
      <c r="D635" s="1" t="s">
        <v>214</v>
      </c>
      <c r="E635" s="1" t="s">
        <v>124</v>
      </c>
      <c r="F635" s="1" t="s">
        <v>225</v>
      </c>
      <c r="G635" s="1" t="s">
        <v>226</v>
      </c>
      <c r="H635" s="1" t="s">
        <v>128</v>
      </c>
      <c r="I635" s="1">
        <v>3</v>
      </c>
      <c r="J635" s="1">
        <v>22865</v>
      </c>
      <c r="K635" s="1">
        <v>68595</v>
      </c>
      <c r="L635" s="1" t="s">
        <v>218</v>
      </c>
      <c r="M635" s="1">
        <v>0</v>
      </c>
      <c r="N635" s="1">
        <v>14844.72</v>
      </c>
    </row>
    <row r="636" spans="1:14" x14ac:dyDescent="0.25">
      <c r="A636" s="1">
        <v>1635</v>
      </c>
      <c r="B636" s="1" t="s">
        <v>425</v>
      </c>
      <c r="C636" s="1" t="s">
        <v>239</v>
      </c>
      <c r="D636" s="1" t="s">
        <v>245</v>
      </c>
      <c r="E636" s="1" t="s">
        <v>124</v>
      </c>
      <c r="F636" s="1" t="s">
        <v>230</v>
      </c>
      <c r="G636" s="1" t="s">
        <v>231</v>
      </c>
      <c r="H636" s="1" t="s">
        <v>128</v>
      </c>
      <c r="I636" s="1">
        <v>3</v>
      </c>
      <c r="J636" s="1">
        <v>11324</v>
      </c>
      <c r="K636" s="1">
        <v>33972</v>
      </c>
      <c r="L636" s="1" t="s">
        <v>218</v>
      </c>
      <c r="M636" s="1">
        <v>0</v>
      </c>
      <c r="N636" s="1">
        <v>3807.54</v>
      </c>
    </row>
    <row r="637" spans="1:14" x14ac:dyDescent="0.25">
      <c r="A637" s="1">
        <v>1636</v>
      </c>
      <c r="B637" s="1" t="s">
        <v>425</v>
      </c>
      <c r="C637" s="1" t="s">
        <v>213</v>
      </c>
      <c r="D637" s="1" t="s">
        <v>214</v>
      </c>
      <c r="E637" s="1" t="s">
        <v>124</v>
      </c>
      <c r="F637" s="1" t="s">
        <v>230</v>
      </c>
      <c r="G637" s="1" t="s">
        <v>241</v>
      </c>
      <c r="H637" s="1" t="s">
        <v>234</v>
      </c>
      <c r="I637" s="1">
        <v>3</v>
      </c>
      <c r="J637" s="1">
        <v>43956</v>
      </c>
      <c r="K637" s="1">
        <v>118681.2</v>
      </c>
      <c r="L637" s="1" t="s">
        <v>222</v>
      </c>
      <c r="M637" s="1">
        <v>10</v>
      </c>
      <c r="N637" s="1">
        <v>34662.949999999997</v>
      </c>
    </row>
    <row r="638" spans="1:14" x14ac:dyDescent="0.25">
      <c r="A638" s="1">
        <v>1637</v>
      </c>
      <c r="B638" s="1" t="s">
        <v>426</v>
      </c>
      <c r="C638" s="1" t="s">
        <v>229</v>
      </c>
      <c r="D638" s="1" t="s">
        <v>214</v>
      </c>
      <c r="E638" s="1" t="s">
        <v>124</v>
      </c>
      <c r="F638" s="1" t="s">
        <v>230</v>
      </c>
      <c r="G638" s="1" t="s">
        <v>242</v>
      </c>
      <c r="H638" s="1" t="s">
        <v>234</v>
      </c>
      <c r="I638" s="1">
        <v>1</v>
      </c>
      <c r="J638" s="1">
        <v>26414</v>
      </c>
      <c r="K638" s="1">
        <v>25093.3</v>
      </c>
      <c r="L638" s="1" t="s">
        <v>222</v>
      </c>
      <c r="M638" s="1">
        <v>5</v>
      </c>
      <c r="N638" s="1">
        <v>7272.97</v>
      </c>
    </row>
    <row r="639" spans="1:14" x14ac:dyDescent="0.25">
      <c r="A639" s="1">
        <v>1638</v>
      </c>
      <c r="B639" s="1" t="s">
        <v>426</v>
      </c>
      <c r="C639" s="1" t="s">
        <v>213</v>
      </c>
      <c r="D639" s="1" t="s">
        <v>245</v>
      </c>
      <c r="E639" s="1" t="s">
        <v>124</v>
      </c>
      <c r="F639" s="1" t="s">
        <v>230</v>
      </c>
      <c r="G639" s="1" t="s">
        <v>241</v>
      </c>
      <c r="H639" s="1" t="s">
        <v>221</v>
      </c>
      <c r="I639" s="1">
        <v>2</v>
      </c>
      <c r="J639" s="1">
        <v>10283</v>
      </c>
      <c r="K639" s="1">
        <v>20566</v>
      </c>
      <c r="L639" s="1" t="s">
        <v>227</v>
      </c>
      <c r="M639" s="1">
        <v>0</v>
      </c>
      <c r="N639" s="1">
        <v>2298.61</v>
      </c>
    </row>
    <row r="640" spans="1:14" x14ac:dyDescent="0.25">
      <c r="A640" s="1">
        <v>1639</v>
      </c>
      <c r="B640" s="1" t="s">
        <v>426</v>
      </c>
      <c r="C640" s="1" t="s">
        <v>229</v>
      </c>
      <c r="D640" s="1" t="s">
        <v>232</v>
      </c>
      <c r="E640" s="1" t="s">
        <v>233</v>
      </c>
      <c r="F640" s="1" t="s">
        <v>230</v>
      </c>
      <c r="G640" s="1" t="s">
        <v>241</v>
      </c>
      <c r="H640" s="1" t="s">
        <v>221</v>
      </c>
      <c r="I640" s="1">
        <v>1</v>
      </c>
      <c r="J640" s="1">
        <v>13416</v>
      </c>
      <c r="K640" s="1">
        <v>12074.4</v>
      </c>
      <c r="L640" s="1" t="s">
        <v>240</v>
      </c>
      <c r="M640" s="1">
        <v>10</v>
      </c>
      <c r="N640" s="1">
        <v>1488.04</v>
      </c>
    </row>
    <row r="641" spans="1:14" x14ac:dyDescent="0.25">
      <c r="A641" s="1">
        <v>1640</v>
      </c>
      <c r="B641" s="1" t="s">
        <v>426</v>
      </c>
      <c r="C641" s="1" t="s">
        <v>239</v>
      </c>
      <c r="D641" s="1" t="s">
        <v>224</v>
      </c>
      <c r="E641" s="1" t="s">
        <v>233</v>
      </c>
      <c r="F641" s="1" t="s">
        <v>225</v>
      </c>
      <c r="G641" s="1" t="s">
        <v>248</v>
      </c>
      <c r="H641" s="1" t="s">
        <v>221</v>
      </c>
      <c r="I641" s="1">
        <v>1</v>
      </c>
      <c r="J641" s="1">
        <v>27868</v>
      </c>
      <c r="K641" s="1">
        <v>25081.200000000001</v>
      </c>
      <c r="L641" s="1" t="s">
        <v>240</v>
      </c>
      <c r="M641" s="1">
        <v>10</v>
      </c>
      <c r="N641" s="1">
        <v>3894.73</v>
      </c>
    </row>
    <row r="642" spans="1:14" x14ac:dyDescent="0.25">
      <c r="A642" s="1">
        <v>1641</v>
      </c>
      <c r="B642" s="1" t="s">
        <v>426</v>
      </c>
      <c r="C642" s="1" t="s">
        <v>229</v>
      </c>
      <c r="D642" s="1" t="s">
        <v>245</v>
      </c>
      <c r="E642" s="1" t="s">
        <v>124</v>
      </c>
      <c r="F642" s="1" t="s">
        <v>225</v>
      </c>
      <c r="G642" s="1" t="s">
        <v>236</v>
      </c>
      <c r="H642" s="1" t="s">
        <v>217</v>
      </c>
      <c r="I642" s="1">
        <v>1</v>
      </c>
      <c r="J642" s="1">
        <v>5754</v>
      </c>
      <c r="K642" s="1">
        <v>5754</v>
      </c>
      <c r="L642" s="1" t="s">
        <v>218</v>
      </c>
      <c r="M642" s="1">
        <v>0</v>
      </c>
      <c r="N642" s="1">
        <v>929.01</v>
      </c>
    </row>
    <row r="643" spans="1:14" x14ac:dyDescent="0.25">
      <c r="A643" s="1">
        <v>1642</v>
      </c>
      <c r="B643" s="1" t="s">
        <v>427</v>
      </c>
      <c r="C643" s="1" t="s">
        <v>229</v>
      </c>
      <c r="D643" s="1" t="s">
        <v>214</v>
      </c>
      <c r="E643" s="1" t="s">
        <v>124</v>
      </c>
      <c r="F643" s="1" t="s">
        <v>215</v>
      </c>
      <c r="G643" s="1" t="s">
        <v>244</v>
      </c>
      <c r="H643" s="1" t="s">
        <v>128</v>
      </c>
      <c r="I643" s="1">
        <v>5</v>
      </c>
      <c r="J643" s="1">
        <v>9037</v>
      </c>
      <c r="K643" s="1">
        <v>40666.5</v>
      </c>
      <c r="L643" s="1" t="s">
        <v>218</v>
      </c>
      <c r="M643" s="1">
        <v>10</v>
      </c>
      <c r="N643" s="1">
        <v>12189.55</v>
      </c>
    </row>
    <row r="644" spans="1:14" x14ac:dyDescent="0.25">
      <c r="A644" s="1">
        <v>1643</v>
      </c>
      <c r="B644" s="1" t="s">
        <v>427</v>
      </c>
      <c r="C644" s="1" t="s">
        <v>219</v>
      </c>
      <c r="D644" s="1" t="s">
        <v>224</v>
      </c>
      <c r="E644" s="1" t="s">
        <v>233</v>
      </c>
      <c r="F644" s="1" t="s">
        <v>215</v>
      </c>
      <c r="G644" s="1" t="s">
        <v>244</v>
      </c>
      <c r="H644" s="1" t="s">
        <v>217</v>
      </c>
      <c r="I644" s="1">
        <v>4</v>
      </c>
      <c r="J644" s="1">
        <v>31821</v>
      </c>
      <c r="K644" s="1">
        <v>114555.6</v>
      </c>
      <c r="L644" s="1" t="s">
        <v>218</v>
      </c>
      <c r="M644" s="1">
        <v>10</v>
      </c>
      <c r="N644" s="1">
        <v>22601.14</v>
      </c>
    </row>
    <row r="645" spans="1:14" x14ac:dyDescent="0.25">
      <c r="A645" s="1">
        <v>1644</v>
      </c>
      <c r="B645" s="1" t="s">
        <v>427</v>
      </c>
      <c r="C645" s="1" t="s">
        <v>229</v>
      </c>
      <c r="D645" s="1" t="s">
        <v>214</v>
      </c>
      <c r="E645" s="1" t="s">
        <v>124</v>
      </c>
      <c r="F645" s="1" t="s">
        <v>215</v>
      </c>
      <c r="G645" s="1" t="s">
        <v>246</v>
      </c>
      <c r="H645" s="1" t="s">
        <v>128</v>
      </c>
      <c r="I645" s="1">
        <v>5</v>
      </c>
      <c r="J645" s="1">
        <v>49987</v>
      </c>
      <c r="K645" s="1">
        <v>224941.5</v>
      </c>
      <c r="L645" s="1" t="s">
        <v>227</v>
      </c>
      <c r="M645" s="1">
        <v>10</v>
      </c>
      <c r="N645" s="1">
        <v>54977.46</v>
      </c>
    </row>
    <row r="646" spans="1:14" x14ac:dyDescent="0.25">
      <c r="A646" s="1">
        <v>1645</v>
      </c>
      <c r="B646" s="1" t="s">
        <v>427</v>
      </c>
      <c r="C646" s="1" t="s">
        <v>223</v>
      </c>
      <c r="D646" s="1" t="s">
        <v>232</v>
      </c>
      <c r="E646" s="1" t="s">
        <v>233</v>
      </c>
      <c r="F646" s="1" t="s">
        <v>230</v>
      </c>
      <c r="G646" s="1" t="s">
        <v>231</v>
      </c>
      <c r="H646" s="1" t="s">
        <v>217</v>
      </c>
      <c r="I646" s="1">
        <v>5</v>
      </c>
      <c r="J646" s="1">
        <v>28761</v>
      </c>
      <c r="K646" s="1">
        <v>136614.75</v>
      </c>
      <c r="L646" s="1" t="s">
        <v>222</v>
      </c>
      <c r="M646" s="1">
        <v>5</v>
      </c>
      <c r="N646" s="1">
        <v>33236.32</v>
      </c>
    </row>
    <row r="647" spans="1:14" x14ac:dyDescent="0.25">
      <c r="A647" s="1">
        <v>1646</v>
      </c>
      <c r="B647" s="1" t="s">
        <v>428</v>
      </c>
      <c r="C647" s="1" t="s">
        <v>239</v>
      </c>
      <c r="D647" s="1" t="s">
        <v>232</v>
      </c>
      <c r="E647" s="1" t="s">
        <v>233</v>
      </c>
      <c r="F647" s="1" t="s">
        <v>225</v>
      </c>
      <c r="G647" s="1" t="s">
        <v>248</v>
      </c>
      <c r="H647" s="1" t="s">
        <v>128</v>
      </c>
      <c r="I647" s="1">
        <v>1</v>
      </c>
      <c r="J647" s="1">
        <v>12597</v>
      </c>
      <c r="K647" s="1">
        <v>10707.45</v>
      </c>
      <c r="L647" s="1" t="s">
        <v>218</v>
      </c>
      <c r="M647" s="1">
        <v>15</v>
      </c>
      <c r="N647" s="1">
        <v>2546.89</v>
      </c>
    </row>
    <row r="648" spans="1:14" x14ac:dyDescent="0.25">
      <c r="A648" s="1">
        <v>1647</v>
      </c>
      <c r="B648" s="1" t="s">
        <v>428</v>
      </c>
      <c r="C648" s="1" t="s">
        <v>213</v>
      </c>
      <c r="D648" s="1" t="s">
        <v>220</v>
      </c>
      <c r="E648" s="1" t="s">
        <v>85</v>
      </c>
      <c r="F648" s="1" t="s">
        <v>215</v>
      </c>
      <c r="G648" s="1" t="s">
        <v>244</v>
      </c>
      <c r="H648" s="1" t="s">
        <v>128</v>
      </c>
      <c r="I648" s="1">
        <v>3</v>
      </c>
      <c r="J648" s="1">
        <v>37626</v>
      </c>
      <c r="K648" s="1">
        <v>107234.1</v>
      </c>
      <c r="L648" s="1" t="s">
        <v>222</v>
      </c>
      <c r="M648" s="1">
        <v>5</v>
      </c>
      <c r="N648" s="1">
        <v>28369.11</v>
      </c>
    </row>
    <row r="649" spans="1:14" x14ac:dyDescent="0.25">
      <c r="A649" s="1">
        <v>1648</v>
      </c>
      <c r="B649" s="1" t="s">
        <v>428</v>
      </c>
      <c r="C649" s="1" t="s">
        <v>239</v>
      </c>
      <c r="D649" s="1" t="s">
        <v>214</v>
      </c>
      <c r="E649" s="1" t="s">
        <v>124</v>
      </c>
      <c r="F649" s="1" t="s">
        <v>225</v>
      </c>
      <c r="G649" s="1" t="s">
        <v>236</v>
      </c>
      <c r="H649" s="1" t="s">
        <v>128</v>
      </c>
      <c r="I649" s="1">
        <v>4</v>
      </c>
      <c r="J649" s="1">
        <v>4581</v>
      </c>
      <c r="K649" s="1">
        <v>16491.599999999999</v>
      </c>
      <c r="L649" s="1" t="s">
        <v>222</v>
      </c>
      <c r="M649" s="1">
        <v>10</v>
      </c>
      <c r="N649" s="1">
        <v>4689.91</v>
      </c>
    </row>
    <row r="650" spans="1:14" x14ac:dyDescent="0.25">
      <c r="A650" s="1">
        <v>1649</v>
      </c>
      <c r="B650" s="1" t="s">
        <v>428</v>
      </c>
      <c r="C650" s="1" t="s">
        <v>229</v>
      </c>
      <c r="D650" s="1" t="s">
        <v>220</v>
      </c>
      <c r="E650" s="1" t="s">
        <v>85</v>
      </c>
      <c r="F650" s="1" t="s">
        <v>215</v>
      </c>
      <c r="G650" s="1" t="s">
        <v>246</v>
      </c>
      <c r="H650" s="1" t="s">
        <v>221</v>
      </c>
      <c r="I650" s="1">
        <v>5</v>
      </c>
      <c r="J650" s="1">
        <v>1549</v>
      </c>
      <c r="K650" s="1">
        <v>6583.25</v>
      </c>
      <c r="L650" s="1" t="s">
        <v>240</v>
      </c>
      <c r="M650" s="1">
        <v>15</v>
      </c>
      <c r="N650" s="1">
        <v>692.37</v>
      </c>
    </row>
    <row r="651" spans="1:14" x14ac:dyDescent="0.25">
      <c r="A651" s="1">
        <v>1650</v>
      </c>
      <c r="B651" s="1" t="s">
        <v>429</v>
      </c>
      <c r="C651" s="1" t="s">
        <v>213</v>
      </c>
      <c r="D651" s="1" t="s">
        <v>220</v>
      </c>
      <c r="E651" s="1" t="s">
        <v>85</v>
      </c>
      <c r="F651" s="1" t="s">
        <v>225</v>
      </c>
      <c r="G651" s="1" t="s">
        <v>248</v>
      </c>
      <c r="H651" s="1" t="s">
        <v>128</v>
      </c>
      <c r="I651" s="1">
        <v>3</v>
      </c>
      <c r="J651" s="1">
        <v>9857</v>
      </c>
      <c r="K651" s="1">
        <v>26613.9</v>
      </c>
      <c r="L651" s="1" t="s">
        <v>240</v>
      </c>
      <c r="M651" s="1">
        <v>10</v>
      </c>
      <c r="N651" s="1">
        <v>3170.77</v>
      </c>
    </row>
    <row r="652" spans="1:14" x14ac:dyDescent="0.25">
      <c r="A652" s="1">
        <v>1651</v>
      </c>
      <c r="B652" s="1" t="s">
        <v>429</v>
      </c>
      <c r="C652" s="1" t="s">
        <v>213</v>
      </c>
      <c r="D652" s="1" t="s">
        <v>220</v>
      </c>
      <c r="E652" s="1" t="s">
        <v>85</v>
      </c>
      <c r="F652" s="1" t="s">
        <v>230</v>
      </c>
      <c r="G652" s="1" t="s">
        <v>241</v>
      </c>
      <c r="H652" s="1" t="s">
        <v>128</v>
      </c>
      <c r="I652" s="1">
        <v>3</v>
      </c>
      <c r="J652" s="1">
        <v>49381</v>
      </c>
      <c r="K652" s="1">
        <v>125921.55</v>
      </c>
      <c r="L652" s="1" t="s">
        <v>227</v>
      </c>
      <c r="M652" s="1">
        <v>15</v>
      </c>
      <c r="N652" s="1">
        <v>15885.94</v>
      </c>
    </row>
    <row r="653" spans="1:14" x14ac:dyDescent="0.25">
      <c r="A653" s="1">
        <v>1652</v>
      </c>
      <c r="B653" s="1" t="s">
        <v>429</v>
      </c>
      <c r="C653" s="1" t="s">
        <v>219</v>
      </c>
      <c r="D653" s="1" t="s">
        <v>214</v>
      </c>
      <c r="E653" s="1" t="s">
        <v>124</v>
      </c>
      <c r="F653" s="1" t="s">
        <v>215</v>
      </c>
      <c r="G653" s="1" t="s">
        <v>216</v>
      </c>
      <c r="H653" s="1" t="s">
        <v>234</v>
      </c>
      <c r="I653" s="1">
        <v>5</v>
      </c>
      <c r="J653" s="1">
        <v>41890</v>
      </c>
      <c r="K653" s="1">
        <v>178032.5</v>
      </c>
      <c r="L653" s="1" t="s">
        <v>222</v>
      </c>
      <c r="M653" s="1">
        <v>15</v>
      </c>
      <c r="N653" s="1">
        <v>36653.31</v>
      </c>
    </row>
    <row r="654" spans="1:14" x14ac:dyDescent="0.25">
      <c r="A654" s="1">
        <v>1653</v>
      </c>
      <c r="B654" s="1" t="s">
        <v>429</v>
      </c>
      <c r="C654" s="1" t="s">
        <v>239</v>
      </c>
      <c r="D654" s="1" t="s">
        <v>214</v>
      </c>
      <c r="E654" s="1" t="s">
        <v>124</v>
      </c>
      <c r="F654" s="1" t="s">
        <v>230</v>
      </c>
      <c r="G654" s="1" t="s">
        <v>241</v>
      </c>
      <c r="H654" s="1" t="s">
        <v>234</v>
      </c>
      <c r="I654" s="1">
        <v>4</v>
      </c>
      <c r="J654" s="1">
        <v>40762</v>
      </c>
      <c r="K654" s="1">
        <v>163048</v>
      </c>
      <c r="L654" s="1" t="s">
        <v>240</v>
      </c>
      <c r="M654" s="1">
        <v>0</v>
      </c>
      <c r="N654" s="1">
        <v>24862.54</v>
      </c>
    </row>
    <row r="655" spans="1:14" x14ac:dyDescent="0.25">
      <c r="A655" s="1">
        <v>1654</v>
      </c>
      <c r="B655" s="1" t="s">
        <v>430</v>
      </c>
      <c r="C655" s="1" t="s">
        <v>223</v>
      </c>
      <c r="D655" s="1" t="s">
        <v>214</v>
      </c>
      <c r="E655" s="1" t="s">
        <v>124</v>
      </c>
      <c r="F655" s="1" t="s">
        <v>225</v>
      </c>
      <c r="G655" s="1" t="s">
        <v>226</v>
      </c>
      <c r="H655" s="1" t="s">
        <v>217</v>
      </c>
      <c r="I655" s="1">
        <v>5</v>
      </c>
      <c r="J655" s="1">
        <v>7191</v>
      </c>
      <c r="K655" s="1">
        <v>30561.75</v>
      </c>
      <c r="L655" s="1" t="s">
        <v>222</v>
      </c>
      <c r="M655" s="1">
        <v>15</v>
      </c>
      <c r="N655" s="1">
        <v>8275.5400000000009</v>
      </c>
    </row>
    <row r="656" spans="1:14" x14ac:dyDescent="0.25">
      <c r="A656" s="1">
        <v>1655</v>
      </c>
      <c r="B656" s="1" t="s">
        <v>430</v>
      </c>
      <c r="C656" s="1" t="s">
        <v>219</v>
      </c>
      <c r="D656" s="1" t="s">
        <v>224</v>
      </c>
      <c r="E656" s="1" t="s">
        <v>233</v>
      </c>
      <c r="F656" s="1" t="s">
        <v>215</v>
      </c>
      <c r="G656" s="1" t="s">
        <v>244</v>
      </c>
      <c r="H656" s="1" t="s">
        <v>221</v>
      </c>
      <c r="I656" s="1">
        <v>5</v>
      </c>
      <c r="J656" s="1">
        <v>33281</v>
      </c>
      <c r="K656" s="1">
        <v>158084.75</v>
      </c>
      <c r="L656" s="1" t="s">
        <v>222</v>
      </c>
      <c r="M656" s="1">
        <v>5</v>
      </c>
      <c r="N656" s="1">
        <v>31756.66</v>
      </c>
    </row>
    <row r="657" spans="1:14" x14ac:dyDescent="0.25">
      <c r="A657" s="1">
        <v>1656</v>
      </c>
      <c r="B657" s="1" t="s">
        <v>430</v>
      </c>
      <c r="C657" s="1" t="s">
        <v>219</v>
      </c>
      <c r="D657" s="1" t="s">
        <v>224</v>
      </c>
      <c r="E657" s="1" t="s">
        <v>233</v>
      </c>
      <c r="F657" s="1" t="s">
        <v>215</v>
      </c>
      <c r="G657" s="1" t="s">
        <v>216</v>
      </c>
      <c r="H657" s="1" t="s">
        <v>128</v>
      </c>
      <c r="I657" s="1">
        <v>2</v>
      </c>
      <c r="J657" s="1">
        <v>34160</v>
      </c>
      <c r="K657" s="1">
        <v>61488</v>
      </c>
      <c r="L657" s="1" t="s">
        <v>240</v>
      </c>
      <c r="M657" s="1">
        <v>10</v>
      </c>
      <c r="N657" s="1">
        <v>15610.82</v>
      </c>
    </row>
    <row r="658" spans="1:14" x14ac:dyDescent="0.25">
      <c r="A658" s="1">
        <v>1657</v>
      </c>
      <c r="B658" s="1" t="s">
        <v>430</v>
      </c>
      <c r="C658" s="1" t="s">
        <v>239</v>
      </c>
      <c r="D658" s="1" t="s">
        <v>220</v>
      </c>
      <c r="E658" s="1" t="s">
        <v>85</v>
      </c>
      <c r="F658" s="1" t="s">
        <v>215</v>
      </c>
      <c r="G658" s="1" t="s">
        <v>246</v>
      </c>
      <c r="H658" s="1" t="s">
        <v>217</v>
      </c>
      <c r="I658" s="1">
        <v>1</v>
      </c>
      <c r="J658" s="1">
        <v>19596</v>
      </c>
      <c r="K658" s="1">
        <v>19596</v>
      </c>
      <c r="L658" s="1" t="s">
        <v>218</v>
      </c>
      <c r="M658" s="1">
        <v>0</v>
      </c>
      <c r="N658" s="1">
        <v>3656.33</v>
      </c>
    </row>
    <row r="659" spans="1:14" x14ac:dyDescent="0.25">
      <c r="A659" s="1">
        <v>1658</v>
      </c>
      <c r="B659" s="1" t="s">
        <v>431</v>
      </c>
      <c r="C659" s="1" t="s">
        <v>213</v>
      </c>
      <c r="D659" s="1" t="s">
        <v>232</v>
      </c>
      <c r="E659" s="1" t="s">
        <v>233</v>
      </c>
      <c r="F659" s="1" t="s">
        <v>225</v>
      </c>
      <c r="G659" s="1" t="s">
        <v>226</v>
      </c>
      <c r="H659" s="1" t="s">
        <v>217</v>
      </c>
      <c r="I659" s="1">
        <v>4</v>
      </c>
      <c r="J659" s="1">
        <v>18244</v>
      </c>
      <c r="K659" s="1">
        <v>69327.199999999997</v>
      </c>
      <c r="L659" s="1" t="s">
        <v>218</v>
      </c>
      <c r="M659" s="1">
        <v>5</v>
      </c>
      <c r="N659" s="1">
        <v>16205.6</v>
      </c>
    </row>
    <row r="660" spans="1:14" x14ac:dyDescent="0.25">
      <c r="A660" s="1">
        <v>1659</v>
      </c>
      <c r="B660" s="1" t="s">
        <v>431</v>
      </c>
      <c r="C660" s="1" t="s">
        <v>213</v>
      </c>
      <c r="D660" s="1" t="s">
        <v>224</v>
      </c>
      <c r="E660" s="1" t="s">
        <v>233</v>
      </c>
      <c r="F660" s="1" t="s">
        <v>215</v>
      </c>
      <c r="G660" s="1" t="s">
        <v>246</v>
      </c>
      <c r="H660" s="1" t="s">
        <v>234</v>
      </c>
      <c r="I660" s="1">
        <v>4</v>
      </c>
      <c r="J660" s="1">
        <v>34657</v>
      </c>
      <c r="K660" s="1">
        <v>124765.2</v>
      </c>
      <c r="L660" s="1" t="s">
        <v>240</v>
      </c>
      <c r="M660" s="1">
        <v>10</v>
      </c>
      <c r="N660" s="1">
        <v>15960.25</v>
      </c>
    </row>
    <row r="661" spans="1:14" x14ac:dyDescent="0.25">
      <c r="A661" s="1">
        <v>1660</v>
      </c>
      <c r="B661" s="1" t="s">
        <v>431</v>
      </c>
      <c r="C661" s="1" t="s">
        <v>223</v>
      </c>
      <c r="D661" s="1" t="s">
        <v>224</v>
      </c>
      <c r="E661" s="1" t="s">
        <v>233</v>
      </c>
      <c r="F661" s="1" t="s">
        <v>225</v>
      </c>
      <c r="G661" s="1" t="s">
        <v>226</v>
      </c>
      <c r="H661" s="1" t="s">
        <v>221</v>
      </c>
      <c r="I661" s="1">
        <v>1</v>
      </c>
      <c r="J661" s="1">
        <v>21567</v>
      </c>
      <c r="K661" s="1">
        <v>18331.95</v>
      </c>
      <c r="L661" s="1" t="s">
        <v>222</v>
      </c>
      <c r="M661" s="1">
        <v>15</v>
      </c>
      <c r="N661" s="1">
        <v>2384.31</v>
      </c>
    </row>
    <row r="662" spans="1:14" x14ac:dyDescent="0.25">
      <c r="A662" s="1">
        <v>1661</v>
      </c>
      <c r="B662" s="1" t="s">
        <v>431</v>
      </c>
      <c r="C662" s="1" t="s">
        <v>219</v>
      </c>
      <c r="D662" s="1" t="s">
        <v>224</v>
      </c>
      <c r="E662" s="1" t="s">
        <v>233</v>
      </c>
      <c r="F662" s="1" t="s">
        <v>225</v>
      </c>
      <c r="G662" s="1" t="s">
        <v>226</v>
      </c>
      <c r="H662" s="1" t="s">
        <v>234</v>
      </c>
      <c r="I662" s="1">
        <v>2</v>
      </c>
      <c r="J662" s="1">
        <v>38031</v>
      </c>
      <c r="K662" s="1">
        <v>64652.7</v>
      </c>
      <c r="L662" s="1" t="s">
        <v>240</v>
      </c>
      <c r="M662" s="1">
        <v>15</v>
      </c>
      <c r="N662" s="1">
        <v>6663.98</v>
      </c>
    </row>
    <row r="663" spans="1:14" x14ac:dyDescent="0.25">
      <c r="A663" s="1">
        <v>1662</v>
      </c>
      <c r="B663" s="1" t="s">
        <v>431</v>
      </c>
      <c r="C663" s="1" t="s">
        <v>229</v>
      </c>
      <c r="D663" s="1" t="s">
        <v>232</v>
      </c>
      <c r="E663" s="1" t="s">
        <v>233</v>
      </c>
      <c r="F663" s="1" t="s">
        <v>225</v>
      </c>
      <c r="G663" s="1" t="s">
        <v>248</v>
      </c>
      <c r="H663" s="1" t="s">
        <v>128</v>
      </c>
      <c r="I663" s="1">
        <v>5</v>
      </c>
      <c r="J663" s="1">
        <v>49519</v>
      </c>
      <c r="K663" s="1">
        <v>235215.25</v>
      </c>
      <c r="L663" s="1" t="s">
        <v>218</v>
      </c>
      <c r="M663" s="1">
        <v>5</v>
      </c>
      <c r="N663" s="1">
        <v>56205.42</v>
      </c>
    </row>
    <row r="664" spans="1:14" x14ac:dyDescent="0.25">
      <c r="A664" s="1">
        <v>1663</v>
      </c>
      <c r="B664" s="1" t="s">
        <v>432</v>
      </c>
      <c r="C664" s="1" t="s">
        <v>213</v>
      </c>
      <c r="D664" s="1" t="s">
        <v>220</v>
      </c>
      <c r="E664" s="1" t="s">
        <v>85</v>
      </c>
      <c r="F664" s="1" t="s">
        <v>230</v>
      </c>
      <c r="G664" s="1" t="s">
        <v>231</v>
      </c>
      <c r="H664" s="1" t="s">
        <v>217</v>
      </c>
      <c r="I664" s="1">
        <v>5</v>
      </c>
      <c r="J664" s="1">
        <v>24409</v>
      </c>
      <c r="K664" s="1">
        <v>109840.5</v>
      </c>
      <c r="L664" s="1" t="s">
        <v>218</v>
      </c>
      <c r="M664" s="1">
        <v>10</v>
      </c>
      <c r="N664" s="1">
        <v>20509.599999999999</v>
      </c>
    </row>
    <row r="665" spans="1:14" x14ac:dyDescent="0.25">
      <c r="A665" s="1">
        <v>1664</v>
      </c>
      <c r="B665" s="1" t="s">
        <v>432</v>
      </c>
      <c r="C665" s="1" t="s">
        <v>219</v>
      </c>
      <c r="D665" s="1" t="s">
        <v>214</v>
      </c>
      <c r="E665" s="1" t="s">
        <v>124</v>
      </c>
      <c r="F665" s="1" t="s">
        <v>215</v>
      </c>
      <c r="G665" s="1" t="s">
        <v>216</v>
      </c>
      <c r="H665" s="1" t="s">
        <v>221</v>
      </c>
      <c r="I665" s="1">
        <v>3</v>
      </c>
      <c r="J665" s="1">
        <v>20088</v>
      </c>
      <c r="K665" s="1">
        <v>57250.8</v>
      </c>
      <c r="L665" s="1" t="s">
        <v>218</v>
      </c>
      <c r="M665" s="1">
        <v>5</v>
      </c>
      <c r="N665" s="1">
        <v>13098.14</v>
      </c>
    </row>
    <row r="666" spans="1:14" x14ac:dyDescent="0.25">
      <c r="A666" s="1">
        <v>1665</v>
      </c>
      <c r="B666" s="1" t="s">
        <v>432</v>
      </c>
      <c r="C666" s="1" t="s">
        <v>239</v>
      </c>
      <c r="D666" s="1" t="s">
        <v>224</v>
      </c>
      <c r="E666" s="1" t="s">
        <v>233</v>
      </c>
      <c r="F666" s="1" t="s">
        <v>225</v>
      </c>
      <c r="G666" s="1" t="s">
        <v>248</v>
      </c>
      <c r="H666" s="1" t="s">
        <v>221</v>
      </c>
      <c r="I666" s="1">
        <v>4</v>
      </c>
      <c r="J666" s="1">
        <v>21698</v>
      </c>
      <c r="K666" s="1">
        <v>73773.2</v>
      </c>
      <c r="L666" s="1" t="s">
        <v>222</v>
      </c>
      <c r="M666" s="1">
        <v>15</v>
      </c>
      <c r="N666" s="1">
        <v>19701.28</v>
      </c>
    </row>
    <row r="667" spans="1:14" x14ac:dyDescent="0.25">
      <c r="A667" s="1">
        <v>1666</v>
      </c>
      <c r="B667" s="1" t="s">
        <v>432</v>
      </c>
      <c r="C667" s="1" t="s">
        <v>219</v>
      </c>
      <c r="D667" s="1" t="s">
        <v>224</v>
      </c>
      <c r="E667" s="1" t="s">
        <v>233</v>
      </c>
      <c r="F667" s="1" t="s">
        <v>225</v>
      </c>
      <c r="G667" s="1" t="s">
        <v>248</v>
      </c>
      <c r="H667" s="1" t="s">
        <v>221</v>
      </c>
      <c r="I667" s="1">
        <v>3</v>
      </c>
      <c r="J667" s="1">
        <v>37900</v>
      </c>
      <c r="K667" s="1">
        <v>113700</v>
      </c>
      <c r="L667" s="1" t="s">
        <v>222</v>
      </c>
      <c r="M667" s="1">
        <v>0</v>
      </c>
      <c r="N667" s="1">
        <v>24743.360000000001</v>
      </c>
    </row>
    <row r="668" spans="1:14" x14ac:dyDescent="0.25">
      <c r="A668" s="1">
        <v>1667</v>
      </c>
      <c r="B668" s="1" t="s">
        <v>432</v>
      </c>
      <c r="C668" s="1" t="s">
        <v>223</v>
      </c>
      <c r="D668" s="1" t="s">
        <v>232</v>
      </c>
      <c r="E668" s="1" t="s">
        <v>233</v>
      </c>
      <c r="F668" s="1" t="s">
        <v>225</v>
      </c>
      <c r="G668" s="1" t="s">
        <v>248</v>
      </c>
      <c r="H668" s="1" t="s">
        <v>221</v>
      </c>
      <c r="I668" s="1">
        <v>2</v>
      </c>
      <c r="J668" s="1">
        <v>15102</v>
      </c>
      <c r="K668" s="1">
        <v>27183.599999999999</v>
      </c>
      <c r="L668" s="1" t="s">
        <v>227</v>
      </c>
      <c r="M668" s="1">
        <v>10</v>
      </c>
      <c r="N668" s="1">
        <v>3549.75</v>
      </c>
    </row>
    <row r="669" spans="1:14" x14ac:dyDescent="0.25">
      <c r="A669" s="1">
        <v>1668</v>
      </c>
      <c r="B669" s="1" t="s">
        <v>433</v>
      </c>
      <c r="C669" s="1" t="s">
        <v>213</v>
      </c>
      <c r="D669" s="1" t="s">
        <v>220</v>
      </c>
      <c r="E669" s="1" t="s">
        <v>85</v>
      </c>
      <c r="F669" s="1" t="s">
        <v>215</v>
      </c>
      <c r="G669" s="1" t="s">
        <v>244</v>
      </c>
      <c r="H669" s="1" t="s">
        <v>128</v>
      </c>
      <c r="I669" s="1">
        <v>4</v>
      </c>
      <c r="J669" s="1">
        <v>38529</v>
      </c>
      <c r="K669" s="1">
        <v>146410.20000000001</v>
      </c>
      <c r="L669" s="1" t="s">
        <v>218</v>
      </c>
      <c r="M669" s="1">
        <v>5</v>
      </c>
      <c r="N669" s="1">
        <v>16996.34</v>
      </c>
    </row>
    <row r="670" spans="1:14" x14ac:dyDescent="0.25">
      <c r="A670" s="1">
        <v>1669</v>
      </c>
      <c r="B670" s="1" t="s">
        <v>433</v>
      </c>
      <c r="C670" s="1" t="s">
        <v>229</v>
      </c>
      <c r="D670" s="1" t="s">
        <v>220</v>
      </c>
      <c r="E670" s="1" t="s">
        <v>85</v>
      </c>
      <c r="F670" s="1" t="s">
        <v>215</v>
      </c>
      <c r="G670" s="1" t="s">
        <v>244</v>
      </c>
      <c r="H670" s="1" t="s">
        <v>221</v>
      </c>
      <c r="I670" s="1">
        <v>5</v>
      </c>
      <c r="J670" s="1">
        <v>37015</v>
      </c>
      <c r="K670" s="1">
        <v>166567.5</v>
      </c>
      <c r="L670" s="1" t="s">
        <v>227</v>
      </c>
      <c r="M670" s="1">
        <v>10</v>
      </c>
      <c r="N670" s="1">
        <v>42179.73</v>
      </c>
    </row>
    <row r="671" spans="1:14" x14ac:dyDescent="0.25">
      <c r="A671" s="1">
        <v>1670</v>
      </c>
      <c r="B671" s="1" t="s">
        <v>433</v>
      </c>
      <c r="C671" s="1" t="s">
        <v>213</v>
      </c>
      <c r="D671" s="1" t="s">
        <v>220</v>
      </c>
      <c r="E671" s="1" t="s">
        <v>85</v>
      </c>
      <c r="F671" s="1" t="s">
        <v>225</v>
      </c>
      <c r="G671" s="1" t="s">
        <v>236</v>
      </c>
      <c r="H671" s="1" t="s">
        <v>234</v>
      </c>
      <c r="I671" s="1">
        <v>4</v>
      </c>
      <c r="J671" s="1">
        <v>36789</v>
      </c>
      <c r="K671" s="1">
        <v>139798.20000000001</v>
      </c>
      <c r="L671" s="1" t="s">
        <v>222</v>
      </c>
      <c r="M671" s="1">
        <v>5</v>
      </c>
      <c r="N671" s="1">
        <v>39450.730000000003</v>
      </c>
    </row>
    <row r="672" spans="1:14" x14ac:dyDescent="0.25">
      <c r="A672" s="1">
        <v>1671</v>
      </c>
      <c r="B672" s="1" t="s">
        <v>433</v>
      </c>
      <c r="C672" s="1" t="s">
        <v>223</v>
      </c>
      <c r="D672" s="1" t="s">
        <v>245</v>
      </c>
      <c r="E672" s="1" t="s">
        <v>124</v>
      </c>
      <c r="F672" s="1" t="s">
        <v>230</v>
      </c>
      <c r="G672" s="1" t="s">
        <v>231</v>
      </c>
      <c r="H672" s="1" t="s">
        <v>234</v>
      </c>
      <c r="I672" s="1">
        <v>5</v>
      </c>
      <c r="J672" s="1">
        <v>27064</v>
      </c>
      <c r="K672" s="1">
        <v>115022</v>
      </c>
      <c r="L672" s="1" t="s">
        <v>222</v>
      </c>
      <c r="M672" s="1">
        <v>15</v>
      </c>
      <c r="N672" s="1">
        <v>29832.12</v>
      </c>
    </row>
    <row r="673" spans="1:14" x14ac:dyDescent="0.25">
      <c r="A673" s="1">
        <v>1672</v>
      </c>
      <c r="B673" s="1" t="s">
        <v>433</v>
      </c>
      <c r="C673" s="1" t="s">
        <v>239</v>
      </c>
      <c r="D673" s="1" t="s">
        <v>224</v>
      </c>
      <c r="E673" s="1" t="s">
        <v>233</v>
      </c>
      <c r="F673" s="1" t="s">
        <v>215</v>
      </c>
      <c r="G673" s="1" t="s">
        <v>216</v>
      </c>
      <c r="H673" s="1" t="s">
        <v>128</v>
      </c>
      <c r="I673" s="1">
        <v>4</v>
      </c>
      <c r="J673" s="1">
        <v>44997</v>
      </c>
      <c r="K673" s="1">
        <v>152989.79999999999</v>
      </c>
      <c r="L673" s="1" t="s">
        <v>227</v>
      </c>
      <c r="M673" s="1">
        <v>15</v>
      </c>
      <c r="N673" s="1">
        <v>24986.33</v>
      </c>
    </row>
    <row r="674" spans="1:14" x14ac:dyDescent="0.25">
      <c r="A674" s="1">
        <v>1673</v>
      </c>
      <c r="B674" s="1" t="s">
        <v>434</v>
      </c>
      <c r="C674" s="1" t="s">
        <v>229</v>
      </c>
      <c r="D674" s="1" t="s">
        <v>245</v>
      </c>
      <c r="E674" s="1" t="s">
        <v>124</v>
      </c>
      <c r="F674" s="1" t="s">
        <v>230</v>
      </c>
      <c r="G674" s="1" t="s">
        <v>241</v>
      </c>
      <c r="H674" s="1" t="s">
        <v>221</v>
      </c>
      <c r="I674" s="1">
        <v>3</v>
      </c>
      <c r="J674" s="1">
        <v>4521</v>
      </c>
      <c r="K674" s="1">
        <v>12206.7</v>
      </c>
      <c r="L674" s="1" t="s">
        <v>240</v>
      </c>
      <c r="M674" s="1">
        <v>10</v>
      </c>
      <c r="N674" s="1">
        <v>3623.16</v>
      </c>
    </row>
    <row r="675" spans="1:14" x14ac:dyDescent="0.25">
      <c r="A675" s="1">
        <v>1674</v>
      </c>
      <c r="B675" s="1" t="s">
        <v>434</v>
      </c>
      <c r="C675" s="1" t="s">
        <v>239</v>
      </c>
      <c r="D675" s="1" t="s">
        <v>220</v>
      </c>
      <c r="E675" s="1" t="s">
        <v>85</v>
      </c>
      <c r="F675" s="1" t="s">
        <v>225</v>
      </c>
      <c r="G675" s="1" t="s">
        <v>236</v>
      </c>
      <c r="H675" s="1" t="s">
        <v>234</v>
      </c>
      <c r="I675" s="1">
        <v>2</v>
      </c>
      <c r="J675" s="1">
        <v>36534</v>
      </c>
      <c r="K675" s="1">
        <v>73068</v>
      </c>
      <c r="L675" s="1" t="s">
        <v>227</v>
      </c>
      <c r="M675" s="1">
        <v>0</v>
      </c>
      <c r="N675" s="1">
        <v>7354.59</v>
      </c>
    </row>
    <row r="676" spans="1:14" x14ac:dyDescent="0.25">
      <c r="A676" s="1">
        <v>1675</v>
      </c>
      <c r="B676" s="1" t="s">
        <v>434</v>
      </c>
      <c r="C676" s="1" t="s">
        <v>219</v>
      </c>
      <c r="D676" s="1" t="s">
        <v>245</v>
      </c>
      <c r="E676" s="1" t="s">
        <v>124</v>
      </c>
      <c r="F676" s="1" t="s">
        <v>215</v>
      </c>
      <c r="G676" s="1" t="s">
        <v>244</v>
      </c>
      <c r="H676" s="1" t="s">
        <v>128</v>
      </c>
      <c r="I676" s="1">
        <v>3</v>
      </c>
      <c r="J676" s="1">
        <v>8586</v>
      </c>
      <c r="K676" s="1">
        <v>25758</v>
      </c>
      <c r="L676" s="1" t="s">
        <v>222</v>
      </c>
      <c r="M676" s="1">
        <v>0</v>
      </c>
      <c r="N676" s="1">
        <v>6381.95</v>
      </c>
    </row>
    <row r="677" spans="1:14" x14ac:dyDescent="0.25">
      <c r="A677" s="1">
        <v>1676</v>
      </c>
      <c r="B677" s="1" t="s">
        <v>434</v>
      </c>
      <c r="C677" s="1" t="s">
        <v>239</v>
      </c>
      <c r="D677" s="1" t="s">
        <v>224</v>
      </c>
      <c r="E677" s="1" t="s">
        <v>233</v>
      </c>
      <c r="F677" s="1" t="s">
        <v>230</v>
      </c>
      <c r="G677" s="1" t="s">
        <v>231</v>
      </c>
      <c r="H677" s="1" t="s">
        <v>234</v>
      </c>
      <c r="I677" s="1">
        <v>3</v>
      </c>
      <c r="J677" s="1">
        <v>9583</v>
      </c>
      <c r="K677" s="1">
        <v>24436.65</v>
      </c>
      <c r="L677" s="1" t="s">
        <v>240</v>
      </c>
      <c r="M677" s="1">
        <v>15</v>
      </c>
      <c r="N677" s="1">
        <v>2609.39</v>
      </c>
    </row>
    <row r="678" spans="1:14" x14ac:dyDescent="0.25">
      <c r="A678" s="1">
        <v>1677</v>
      </c>
      <c r="B678" s="1" t="s">
        <v>434</v>
      </c>
      <c r="C678" s="1" t="s">
        <v>219</v>
      </c>
      <c r="D678" s="1" t="s">
        <v>224</v>
      </c>
      <c r="E678" s="1" t="s">
        <v>233</v>
      </c>
      <c r="F678" s="1" t="s">
        <v>225</v>
      </c>
      <c r="G678" s="1" t="s">
        <v>248</v>
      </c>
      <c r="H678" s="1" t="s">
        <v>221</v>
      </c>
      <c r="I678" s="1">
        <v>1</v>
      </c>
      <c r="J678" s="1">
        <v>14417</v>
      </c>
      <c r="K678" s="1">
        <v>13696.15</v>
      </c>
      <c r="L678" s="1" t="s">
        <v>227</v>
      </c>
      <c r="M678" s="1">
        <v>5</v>
      </c>
      <c r="N678" s="1">
        <v>1790.7</v>
      </c>
    </row>
    <row r="679" spans="1:14" x14ac:dyDescent="0.25">
      <c r="A679" s="1">
        <v>1678</v>
      </c>
      <c r="B679" s="1" t="s">
        <v>435</v>
      </c>
      <c r="C679" s="1" t="s">
        <v>239</v>
      </c>
      <c r="D679" s="1" t="s">
        <v>220</v>
      </c>
      <c r="E679" s="1" t="s">
        <v>85</v>
      </c>
      <c r="F679" s="1" t="s">
        <v>230</v>
      </c>
      <c r="G679" s="1" t="s">
        <v>242</v>
      </c>
      <c r="H679" s="1" t="s">
        <v>128</v>
      </c>
      <c r="I679" s="1">
        <v>3</v>
      </c>
      <c r="J679" s="1">
        <v>38366</v>
      </c>
      <c r="K679" s="1">
        <v>109343.1</v>
      </c>
      <c r="L679" s="1" t="s">
        <v>227</v>
      </c>
      <c r="M679" s="1">
        <v>5</v>
      </c>
      <c r="N679" s="1">
        <v>11302.91</v>
      </c>
    </row>
    <row r="680" spans="1:14" x14ac:dyDescent="0.25">
      <c r="A680" s="1">
        <v>1679</v>
      </c>
      <c r="B680" s="1" t="s">
        <v>435</v>
      </c>
      <c r="C680" s="1" t="s">
        <v>213</v>
      </c>
      <c r="D680" s="1" t="s">
        <v>214</v>
      </c>
      <c r="E680" s="1" t="s">
        <v>124</v>
      </c>
      <c r="F680" s="1" t="s">
        <v>225</v>
      </c>
      <c r="G680" s="1" t="s">
        <v>226</v>
      </c>
      <c r="H680" s="1" t="s">
        <v>217</v>
      </c>
      <c r="I680" s="1">
        <v>1</v>
      </c>
      <c r="J680" s="1">
        <v>8667</v>
      </c>
      <c r="K680" s="1">
        <v>7800.3</v>
      </c>
      <c r="L680" s="1" t="s">
        <v>240</v>
      </c>
      <c r="M680" s="1">
        <v>10</v>
      </c>
      <c r="N680" s="1">
        <v>1588.64</v>
      </c>
    </row>
    <row r="681" spans="1:14" x14ac:dyDescent="0.25">
      <c r="A681" s="1">
        <v>1680</v>
      </c>
      <c r="B681" s="1" t="s">
        <v>436</v>
      </c>
      <c r="C681" s="1" t="s">
        <v>219</v>
      </c>
      <c r="D681" s="1" t="s">
        <v>232</v>
      </c>
      <c r="E681" s="1" t="s">
        <v>233</v>
      </c>
      <c r="F681" s="1" t="s">
        <v>215</v>
      </c>
      <c r="G681" s="1" t="s">
        <v>244</v>
      </c>
      <c r="H681" s="1" t="s">
        <v>234</v>
      </c>
      <c r="I681" s="1">
        <v>5</v>
      </c>
      <c r="J681" s="1">
        <v>40582</v>
      </c>
      <c r="K681" s="1">
        <v>192764.5</v>
      </c>
      <c r="L681" s="1" t="s">
        <v>222</v>
      </c>
      <c r="M681" s="1">
        <v>5</v>
      </c>
      <c r="N681" s="1">
        <v>44053.120000000003</v>
      </c>
    </row>
    <row r="682" spans="1:14" x14ac:dyDescent="0.25">
      <c r="A682" s="1">
        <v>1681</v>
      </c>
      <c r="B682" s="1" t="s">
        <v>436</v>
      </c>
      <c r="C682" s="1" t="s">
        <v>239</v>
      </c>
      <c r="D682" s="1" t="s">
        <v>214</v>
      </c>
      <c r="E682" s="1" t="s">
        <v>124</v>
      </c>
      <c r="F682" s="1" t="s">
        <v>215</v>
      </c>
      <c r="G682" s="1" t="s">
        <v>216</v>
      </c>
      <c r="H682" s="1" t="s">
        <v>128</v>
      </c>
      <c r="I682" s="1">
        <v>2</v>
      </c>
      <c r="J682" s="1">
        <v>26519</v>
      </c>
      <c r="K682" s="1">
        <v>50386.1</v>
      </c>
      <c r="L682" s="1" t="s">
        <v>240</v>
      </c>
      <c r="M682" s="1">
        <v>5</v>
      </c>
      <c r="N682" s="1">
        <v>7451.1</v>
      </c>
    </row>
    <row r="683" spans="1:14" x14ac:dyDescent="0.25">
      <c r="A683" s="1">
        <v>1682</v>
      </c>
      <c r="B683" s="1" t="s">
        <v>436</v>
      </c>
      <c r="C683" s="1" t="s">
        <v>223</v>
      </c>
      <c r="D683" s="1" t="s">
        <v>232</v>
      </c>
      <c r="E683" s="1" t="s">
        <v>233</v>
      </c>
      <c r="F683" s="1" t="s">
        <v>225</v>
      </c>
      <c r="G683" s="1" t="s">
        <v>248</v>
      </c>
      <c r="H683" s="1" t="s">
        <v>221</v>
      </c>
      <c r="I683" s="1">
        <v>4</v>
      </c>
      <c r="J683" s="1">
        <v>22288</v>
      </c>
      <c r="K683" s="1">
        <v>89152</v>
      </c>
      <c r="L683" s="1" t="s">
        <v>218</v>
      </c>
      <c r="M683" s="1">
        <v>0</v>
      </c>
      <c r="N683" s="1">
        <v>15732.57</v>
      </c>
    </row>
    <row r="684" spans="1:14" x14ac:dyDescent="0.25">
      <c r="A684" s="1">
        <v>1683</v>
      </c>
      <c r="B684" s="1" t="s">
        <v>436</v>
      </c>
      <c r="C684" s="1" t="s">
        <v>229</v>
      </c>
      <c r="D684" s="1" t="s">
        <v>214</v>
      </c>
      <c r="E684" s="1" t="s">
        <v>124</v>
      </c>
      <c r="F684" s="1" t="s">
        <v>230</v>
      </c>
      <c r="G684" s="1" t="s">
        <v>241</v>
      </c>
      <c r="H684" s="1" t="s">
        <v>234</v>
      </c>
      <c r="I684" s="1">
        <v>5</v>
      </c>
      <c r="J684" s="1">
        <v>37432</v>
      </c>
      <c r="K684" s="1">
        <v>177802</v>
      </c>
      <c r="L684" s="1" t="s">
        <v>240</v>
      </c>
      <c r="M684" s="1">
        <v>5</v>
      </c>
      <c r="N684" s="1">
        <v>24050.3</v>
      </c>
    </row>
    <row r="685" spans="1:14" x14ac:dyDescent="0.25">
      <c r="A685" s="1">
        <v>1684</v>
      </c>
      <c r="B685" s="1" t="s">
        <v>437</v>
      </c>
      <c r="C685" s="1" t="s">
        <v>223</v>
      </c>
      <c r="D685" s="1" t="s">
        <v>224</v>
      </c>
      <c r="E685" s="1" t="s">
        <v>233</v>
      </c>
      <c r="F685" s="1" t="s">
        <v>215</v>
      </c>
      <c r="G685" s="1" t="s">
        <v>244</v>
      </c>
      <c r="H685" s="1" t="s">
        <v>234</v>
      </c>
      <c r="I685" s="1">
        <v>5</v>
      </c>
      <c r="J685" s="1">
        <v>16128</v>
      </c>
      <c r="K685" s="1">
        <v>80640</v>
      </c>
      <c r="L685" s="1" t="s">
        <v>227</v>
      </c>
      <c r="M685" s="1">
        <v>0</v>
      </c>
      <c r="N685" s="1">
        <v>9902.39</v>
      </c>
    </row>
    <row r="686" spans="1:14" x14ac:dyDescent="0.25">
      <c r="A686" s="1">
        <v>1685</v>
      </c>
      <c r="B686" s="1" t="s">
        <v>437</v>
      </c>
      <c r="C686" s="1" t="s">
        <v>213</v>
      </c>
      <c r="D686" s="1" t="s">
        <v>214</v>
      </c>
      <c r="E686" s="1" t="s">
        <v>124</v>
      </c>
      <c r="F686" s="1" t="s">
        <v>225</v>
      </c>
      <c r="G686" s="1" t="s">
        <v>226</v>
      </c>
      <c r="H686" s="1" t="s">
        <v>128</v>
      </c>
      <c r="I686" s="1">
        <v>2</v>
      </c>
      <c r="J686" s="1">
        <v>23611</v>
      </c>
      <c r="K686" s="1">
        <v>42499.8</v>
      </c>
      <c r="L686" s="1" t="s">
        <v>227</v>
      </c>
      <c r="M686" s="1">
        <v>10</v>
      </c>
      <c r="N686" s="1">
        <v>10251.16</v>
      </c>
    </row>
    <row r="687" spans="1:14" x14ac:dyDescent="0.25">
      <c r="A687" s="1">
        <v>1686</v>
      </c>
      <c r="B687" s="1" t="s">
        <v>438</v>
      </c>
      <c r="C687" s="1" t="s">
        <v>223</v>
      </c>
      <c r="D687" s="1" t="s">
        <v>232</v>
      </c>
      <c r="E687" s="1" t="s">
        <v>233</v>
      </c>
      <c r="F687" s="1" t="s">
        <v>230</v>
      </c>
      <c r="G687" s="1" t="s">
        <v>242</v>
      </c>
      <c r="H687" s="1" t="s">
        <v>217</v>
      </c>
      <c r="I687" s="1">
        <v>3</v>
      </c>
      <c r="J687" s="1">
        <v>24866</v>
      </c>
      <c r="K687" s="1">
        <v>63408.3</v>
      </c>
      <c r="L687" s="1" t="s">
        <v>240</v>
      </c>
      <c r="M687" s="1">
        <v>15</v>
      </c>
      <c r="N687" s="1">
        <v>16998.919999999998</v>
      </c>
    </row>
    <row r="688" spans="1:14" x14ac:dyDescent="0.25">
      <c r="A688" s="1">
        <v>1687</v>
      </c>
      <c r="B688" s="1" t="s">
        <v>438</v>
      </c>
      <c r="C688" s="1" t="s">
        <v>223</v>
      </c>
      <c r="D688" s="1" t="s">
        <v>224</v>
      </c>
      <c r="E688" s="1" t="s">
        <v>233</v>
      </c>
      <c r="F688" s="1" t="s">
        <v>230</v>
      </c>
      <c r="G688" s="1" t="s">
        <v>231</v>
      </c>
      <c r="H688" s="1" t="s">
        <v>128</v>
      </c>
      <c r="I688" s="1">
        <v>2</v>
      </c>
      <c r="J688" s="1">
        <v>35149</v>
      </c>
      <c r="K688" s="1">
        <v>63268.2</v>
      </c>
      <c r="L688" s="1" t="s">
        <v>218</v>
      </c>
      <c r="M688" s="1">
        <v>10</v>
      </c>
      <c r="N688" s="1">
        <v>17413.330000000002</v>
      </c>
    </row>
    <row r="689" spans="1:14" x14ac:dyDescent="0.25">
      <c r="A689" s="1">
        <v>1688</v>
      </c>
      <c r="B689" s="1" t="s">
        <v>438</v>
      </c>
      <c r="C689" s="1" t="s">
        <v>229</v>
      </c>
      <c r="D689" s="1" t="s">
        <v>245</v>
      </c>
      <c r="E689" s="1" t="s">
        <v>124</v>
      </c>
      <c r="F689" s="1" t="s">
        <v>230</v>
      </c>
      <c r="G689" s="1" t="s">
        <v>242</v>
      </c>
      <c r="H689" s="1" t="s">
        <v>128</v>
      </c>
      <c r="I689" s="1">
        <v>5</v>
      </c>
      <c r="J689" s="1">
        <v>23587</v>
      </c>
      <c r="K689" s="1">
        <v>106141.5</v>
      </c>
      <c r="L689" s="1" t="s">
        <v>218</v>
      </c>
      <c r="M689" s="1">
        <v>10</v>
      </c>
      <c r="N689" s="1">
        <v>26768.67</v>
      </c>
    </row>
    <row r="690" spans="1:14" x14ac:dyDescent="0.25">
      <c r="A690" s="1">
        <v>1689</v>
      </c>
      <c r="B690" s="1" t="s">
        <v>438</v>
      </c>
      <c r="C690" s="1" t="s">
        <v>229</v>
      </c>
      <c r="D690" s="1" t="s">
        <v>232</v>
      </c>
      <c r="E690" s="1" t="s">
        <v>233</v>
      </c>
      <c r="F690" s="1" t="s">
        <v>230</v>
      </c>
      <c r="G690" s="1" t="s">
        <v>242</v>
      </c>
      <c r="H690" s="1" t="s">
        <v>217</v>
      </c>
      <c r="I690" s="1">
        <v>2</v>
      </c>
      <c r="J690" s="1">
        <v>8359</v>
      </c>
      <c r="K690" s="1">
        <v>15882.1</v>
      </c>
      <c r="L690" s="1" t="s">
        <v>222</v>
      </c>
      <c r="M690" s="1">
        <v>5</v>
      </c>
      <c r="N690" s="1">
        <v>3684.36</v>
      </c>
    </row>
    <row r="691" spans="1:14" x14ac:dyDescent="0.25">
      <c r="A691" s="1">
        <v>1690</v>
      </c>
      <c r="B691" s="1" t="s">
        <v>438</v>
      </c>
      <c r="C691" s="1" t="s">
        <v>219</v>
      </c>
      <c r="D691" s="1" t="s">
        <v>224</v>
      </c>
      <c r="E691" s="1" t="s">
        <v>233</v>
      </c>
      <c r="F691" s="1" t="s">
        <v>225</v>
      </c>
      <c r="G691" s="1" t="s">
        <v>248</v>
      </c>
      <c r="H691" s="1" t="s">
        <v>217</v>
      </c>
      <c r="I691" s="1">
        <v>1</v>
      </c>
      <c r="J691" s="1">
        <v>25170</v>
      </c>
      <c r="K691" s="1">
        <v>22653</v>
      </c>
      <c r="L691" s="1" t="s">
        <v>222</v>
      </c>
      <c r="M691" s="1">
        <v>10</v>
      </c>
      <c r="N691" s="1">
        <v>6159.9</v>
      </c>
    </row>
    <row r="692" spans="1:14" x14ac:dyDescent="0.25">
      <c r="A692" s="1">
        <v>1691</v>
      </c>
      <c r="B692" s="1" t="s">
        <v>439</v>
      </c>
      <c r="C692" s="1" t="s">
        <v>213</v>
      </c>
      <c r="D692" s="1" t="s">
        <v>224</v>
      </c>
      <c r="E692" s="1" t="s">
        <v>233</v>
      </c>
      <c r="F692" s="1" t="s">
        <v>225</v>
      </c>
      <c r="G692" s="1" t="s">
        <v>236</v>
      </c>
      <c r="H692" s="1" t="s">
        <v>234</v>
      </c>
      <c r="I692" s="1">
        <v>5</v>
      </c>
      <c r="J692" s="1">
        <v>40199</v>
      </c>
      <c r="K692" s="1">
        <v>180895.5</v>
      </c>
      <c r="L692" s="1" t="s">
        <v>227</v>
      </c>
      <c r="M692" s="1">
        <v>10</v>
      </c>
      <c r="N692" s="1">
        <v>47343.22</v>
      </c>
    </row>
    <row r="693" spans="1:14" x14ac:dyDescent="0.25">
      <c r="A693" s="1">
        <v>1692</v>
      </c>
      <c r="B693" s="1" t="s">
        <v>439</v>
      </c>
      <c r="C693" s="1" t="s">
        <v>223</v>
      </c>
      <c r="D693" s="1" t="s">
        <v>220</v>
      </c>
      <c r="E693" s="1" t="s">
        <v>85</v>
      </c>
      <c r="F693" s="1" t="s">
        <v>215</v>
      </c>
      <c r="G693" s="1" t="s">
        <v>216</v>
      </c>
      <c r="H693" s="1" t="s">
        <v>217</v>
      </c>
      <c r="I693" s="1">
        <v>4</v>
      </c>
      <c r="J693" s="1">
        <v>21525</v>
      </c>
      <c r="K693" s="1">
        <v>77490</v>
      </c>
      <c r="L693" s="1" t="s">
        <v>227</v>
      </c>
      <c r="M693" s="1">
        <v>10</v>
      </c>
      <c r="N693" s="1">
        <v>13591.42</v>
      </c>
    </row>
    <row r="694" spans="1:14" x14ac:dyDescent="0.25">
      <c r="A694" s="1">
        <v>1693</v>
      </c>
      <c r="B694" s="1" t="s">
        <v>439</v>
      </c>
      <c r="C694" s="1" t="s">
        <v>223</v>
      </c>
      <c r="D694" s="1" t="s">
        <v>214</v>
      </c>
      <c r="E694" s="1" t="s">
        <v>124</v>
      </c>
      <c r="F694" s="1" t="s">
        <v>225</v>
      </c>
      <c r="G694" s="1" t="s">
        <v>248</v>
      </c>
      <c r="H694" s="1" t="s">
        <v>221</v>
      </c>
      <c r="I694" s="1">
        <v>2</v>
      </c>
      <c r="J694" s="1">
        <v>20478</v>
      </c>
      <c r="K694" s="1">
        <v>36860.400000000001</v>
      </c>
      <c r="L694" s="1" t="s">
        <v>222</v>
      </c>
      <c r="M694" s="1">
        <v>10</v>
      </c>
      <c r="N694" s="1">
        <v>5513.39</v>
      </c>
    </row>
    <row r="695" spans="1:14" x14ac:dyDescent="0.25">
      <c r="A695" s="1">
        <v>1694</v>
      </c>
      <c r="B695" s="1" t="s">
        <v>439</v>
      </c>
      <c r="C695" s="1" t="s">
        <v>219</v>
      </c>
      <c r="D695" s="1" t="s">
        <v>245</v>
      </c>
      <c r="E695" s="1" t="s">
        <v>124</v>
      </c>
      <c r="F695" s="1" t="s">
        <v>225</v>
      </c>
      <c r="G695" s="1" t="s">
        <v>248</v>
      </c>
      <c r="H695" s="1" t="s">
        <v>217</v>
      </c>
      <c r="I695" s="1">
        <v>3</v>
      </c>
      <c r="J695" s="1">
        <v>42911</v>
      </c>
      <c r="K695" s="1">
        <v>109423.05</v>
      </c>
      <c r="L695" s="1" t="s">
        <v>227</v>
      </c>
      <c r="M695" s="1">
        <v>15</v>
      </c>
      <c r="N695" s="1">
        <v>27748.46</v>
      </c>
    </row>
    <row r="696" spans="1:14" x14ac:dyDescent="0.25">
      <c r="A696" s="1">
        <v>1695</v>
      </c>
      <c r="B696" s="1" t="s">
        <v>440</v>
      </c>
      <c r="C696" s="1" t="s">
        <v>219</v>
      </c>
      <c r="D696" s="1" t="s">
        <v>224</v>
      </c>
      <c r="E696" s="1" t="s">
        <v>233</v>
      </c>
      <c r="F696" s="1" t="s">
        <v>215</v>
      </c>
      <c r="G696" s="1" t="s">
        <v>216</v>
      </c>
      <c r="H696" s="1" t="s">
        <v>234</v>
      </c>
      <c r="I696" s="1">
        <v>2</v>
      </c>
      <c r="J696" s="1">
        <v>17494</v>
      </c>
      <c r="K696" s="1">
        <v>31489.200000000001</v>
      </c>
      <c r="L696" s="1" t="s">
        <v>227</v>
      </c>
      <c r="M696" s="1">
        <v>10</v>
      </c>
      <c r="N696" s="1">
        <v>5405.53</v>
      </c>
    </row>
    <row r="697" spans="1:14" x14ac:dyDescent="0.25">
      <c r="A697" s="1">
        <v>1696</v>
      </c>
      <c r="B697" s="1" t="s">
        <v>440</v>
      </c>
      <c r="C697" s="1" t="s">
        <v>229</v>
      </c>
      <c r="D697" s="1" t="s">
        <v>214</v>
      </c>
      <c r="E697" s="1" t="s">
        <v>124</v>
      </c>
      <c r="F697" s="1" t="s">
        <v>230</v>
      </c>
      <c r="G697" s="1" t="s">
        <v>242</v>
      </c>
      <c r="H697" s="1" t="s">
        <v>234</v>
      </c>
      <c r="I697" s="1">
        <v>4</v>
      </c>
      <c r="J697" s="1">
        <v>2071</v>
      </c>
      <c r="K697" s="1">
        <v>7041.4</v>
      </c>
      <c r="L697" s="1" t="s">
        <v>240</v>
      </c>
      <c r="M697" s="1">
        <v>15</v>
      </c>
      <c r="N697" s="1">
        <v>1682.51</v>
      </c>
    </row>
    <row r="698" spans="1:14" x14ac:dyDescent="0.25">
      <c r="A698" s="1">
        <v>1697</v>
      </c>
      <c r="B698" s="1" t="s">
        <v>440</v>
      </c>
      <c r="C698" s="1" t="s">
        <v>239</v>
      </c>
      <c r="D698" s="1" t="s">
        <v>232</v>
      </c>
      <c r="E698" s="1" t="s">
        <v>233</v>
      </c>
      <c r="F698" s="1" t="s">
        <v>215</v>
      </c>
      <c r="G698" s="1" t="s">
        <v>216</v>
      </c>
      <c r="H698" s="1" t="s">
        <v>217</v>
      </c>
      <c r="I698" s="1">
        <v>3</v>
      </c>
      <c r="J698" s="1">
        <v>24638</v>
      </c>
      <c r="K698" s="1">
        <v>66522.600000000006</v>
      </c>
      <c r="L698" s="1" t="s">
        <v>227</v>
      </c>
      <c r="M698" s="1">
        <v>10</v>
      </c>
      <c r="N698" s="1">
        <v>6681.1</v>
      </c>
    </row>
    <row r="699" spans="1:14" x14ac:dyDescent="0.25">
      <c r="A699" s="1">
        <v>1698</v>
      </c>
      <c r="B699" s="1" t="s">
        <v>440</v>
      </c>
      <c r="C699" s="1" t="s">
        <v>223</v>
      </c>
      <c r="D699" s="1" t="s">
        <v>232</v>
      </c>
      <c r="E699" s="1" t="s">
        <v>233</v>
      </c>
      <c r="F699" s="1" t="s">
        <v>225</v>
      </c>
      <c r="G699" s="1" t="s">
        <v>236</v>
      </c>
      <c r="H699" s="1" t="s">
        <v>128</v>
      </c>
      <c r="I699" s="1">
        <v>2</v>
      </c>
      <c r="J699" s="1">
        <v>12658</v>
      </c>
      <c r="K699" s="1">
        <v>25316</v>
      </c>
      <c r="L699" s="1" t="s">
        <v>227</v>
      </c>
      <c r="M699" s="1">
        <v>0</v>
      </c>
      <c r="N699" s="1">
        <v>3027.7</v>
      </c>
    </row>
    <row r="700" spans="1:14" x14ac:dyDescent="0.25">
      <c r="A700" s="1">
        <v>1699</v>
      </c>
      <c r="B700" s="1" t="s">
        <v>441</v>
      </c>
      <c r="C700" s="1" t="s">
        <v>239</v>
      </c>
      <c r="D700" s="1" t="s">
        <v>220</v>
      </c>
      <c r="E700" s="1" t="s">
        <v>85</v>
      </c>
      <c r="F700" s="1" t="s">
        <v>230</v>
      </c>
      <c r="G700" s="1" t="s">
        <v>242</v>
      </c>
      <c r="H700" s="1" t="s">
        <v>234</v>
      </c>
      <c r="I700" s="1">
        <v>5</v>
      </c>
      <c r="J700" s="1">
        <v>18993</v>
      </c>
      <c r="K700" s="1">
        <v>80720.25</v>
      </c>
      <c r="L700" s="1" t="s">
        <v>227</v>
      </c>
      <c r="M700" s="1">
        <v>15</v>
      </c>
      <c r="N700" s="1">
        <v>24015.93</v>
      </c>
    </row>
    <row r="701" spans="1:14" x14ac:dyDescent="0.25">
      <c r="A701" s="1">
        <v>1700</v>
      </c>
      <c r="B701" s="1" t="s">
        <v>441</v>
      </c>
      <c r="C701" s="1" t="s">
        <v>229</v>
      </c>
      <c r="D701" s="1" t="s">
        <v>232</v>
      </c>
      <c r="E701" s="1" t="s">
        <v>233</v>
      </c>
      <c r="F701" s="1" t="s">
        <v>230</v>
      </c>
      <c r="G701" s="1" t="s">
        <v>231</v>
      </c>
      <c r="H701" s="1" t="s">
        <v>234</v>
      </c>
      <c r="I701" s="1">
        <v>4</v>
      </c>
      <c r="J701" s="1">
        <v>5609</v>
      </c>
      <c r="K701" s="1">
        <v>20192.400000000001</v>
      </c>
      <c r="L701" s="1" t="s">
        <v>227</v>
      </c>
      <c r="M701" s="1">
        <v>10</v>
      </c>
      <c r="N701" s="1">
        <v>3177.22</v>
      </c>
    </row>
    <row r="702" spans="1:14" x14ac:dyDescent="0.25">
      <c r="A702" s="1">
        <v>1701</v>
      </c>
      <c r="B702" s="1" t="s">
        <v>441</v>
      </c>
      <c r="C702" s="1" t="s">
        <v>239</v>
      </c>
      <c r="D702" s="1" t="s">
        <v>220</v>
      </c>
      <c r="E702" s="1" t="s">
        <v>85</v>
      </c>
      <c r="F702" s="1" t="s">
        <v>225</v>
      </c>
      <c r="G702" s="1" t="s">
        <v>248</v>
      </c>
      <c r="H702" s="1" t="s">
        <v>221</v>
      </c>
      <c r="I702" s="1">
        <v>3</v>
      </c>
      <c r="J702" s="1">
        <v>30599</v>
      </c>
      <c r="K702" s="1">
        <v>82617.3</v>
      </c>
      <c r="L702" s="1" t="s">
        <v>218</v>
      </c>
      <c r="M702" s="1">
        <v>10</v>
      </c>
      <c r="N702" s="1">
        <v>12380.89</v>
      </c>
    </row>
    <row r="703" spans="1:14" x14ac:dyDescent="0.25">
      <c r="A703" s="1">
        <v>1702</v>
      </c>
      <c r="B703" s="1" t="s">
        <v>442</v>
      </c>
      <c r="C703" s="1" t="s">
        <v>223</v>
      </c>
      <c r="D703" s="1" t="s">
        <v>245</v>
      </c>
      <c r="E703" s="1" t="s">
        <v>124</v>
      </c>
      <c r="F703" s="1" t="s">
        <v>225</v>
      </c>
      <c r="G703" s="1" t="s">
        <v>236</v>
      </c>
      <c r="H703" s="1" t="s">
        <v>234</v>
      </c>
      <c r="I703" s="1">
        <v>2</v>
      </c>
      <c r="J703" s="1">
        <v>23293</v>
      </c>
      <c r="K703" s="1">
        <v>46586</v>
      </c>
      <c r="L703" s="1" t="s">
        <v>227</v>
      </c>
      <c r="M703" s="1">
        <v>0</v>
      </c>
      <c r="N703" s="1">
        <v>5764.97</v>
      </c>
    </row>
    <row r="704" spans="1:14" x14ac:dyDescent="0.25">
      <c r="A704" s="1">
        <v>1703</v>
      </c>
      <c r="B704" s="1" t="s">
        <v>442</v>
      </c>
      <c r="C704" s="1" t="s">
        <v>239</v>
      </c>
      <c r="D704" s="1" t="s">
        <v>214</v>
      </c>
      <c r="E704" s="1" t="s">
        <v>124</v>
      </c>
      <c r="F704" s="1" t="s">
        <v>230</v>
      </c>
      <c r="G704" s="1" t="s">
        <v>242</v>
      </c>
      <c r="H704" s="1" t="s">
        <v>234</v>
      </c>
      <c r="I704" s="1">
        <v>2</v>
      </c>
      <c r="J704" s="1">
        <v>45295</v>
      </c>
      <c r="K704" s="1">
        <v>77001.5</v>
      </c>
      <c r="L704" s="1" t="s">
        <v>240</v>
      </c>
      <c r="M704" s="1">
        <v>15</v>
      </c>
      <c r="N704" s="1">
        <v>14232.23</v>
      </c>
    </row>
    <row r="705" spans="1:14" x14ac:dyDescent="0.25">
      <c r="A705" s="1">
        <v>1704</v>
      </c>
      <c r="B705" s="1" t="s">
        <v>442</v>
      </c>
      <c r="C705" s="1" t="s">
        <v>239</v>
      </c>
      <c r="D705" s="1" t="s">
        <v>214</v>
      </c>
      <c r="E705" s="1" t="s">
        <v>124</v>
      </c>
      <c r="F705" s="1" t="s">
        <v>215</v>
      </c>
      <c r="G705" s="1" t="s">
        <v>216</v>
      </c>
      <c r="H705" s="1" t="s">
        <v>128</v>
      </c>
      <c r="I705" s="1">
        <v>1</v>
      </c>
      <c r="J705" s="1">
        <v>34406</v>
      </c>
      <c r="K705" s="1">
        <v>32685.7</v>
      </c>
      <c r="L705" s="1" t="s">
        <v>222</v>
      </c>
      <c r="M705" s="1">
        <v>5</v>
      </c>
      <c r="N705" s="1">
        <v>4998.63</v>
      </c>
    </row>
    <row r="706" spans="1:14" x14ac:dyDescent="0.25">
      <c r="A706" s="1">
        <v>1705</v>
      </c>
      <c r="B706" s="1" t="s">
        <v>442</v>
      </c>
      <c r="C706" s="1" t="s">
        <v>239</v>
      </c>
      <c r="D706" s="1" t="s">
        <v>224</v>
      </c>
      <c r="E706" s="1" t="s">
        <v>233</v>
      </c>
      <c r="F706" s="1" t="s">
        <v>225</v>
      </c>
      <c r="G706" s="1" t="s">
        <v>226</v>
      </c>
      <c r="H706" s="1" t="s">
        <v>128</v>
      </c>
      <c r="I706" s="1">
        <v>1</v>
      </c>
      <c r="J706" s="1">
        <v>18536</v>
      </c>
      <c r="K706" s="1">
        <v>16682.400000000001</v>
      </c>
      <c r="L706" s="1" t="s">
        <v>222</v>
      </c>
      <c r="M706" s="1">
        <v>10</v>
      </c>
      <c r="N706" s="1">
        <v>4399.5</v>
      </c>
    </row>
    <row r="707" spans="1:14" x14ac:dyDescent="0.25">
      <c r="A707" s="1">
        <v>1706</v>
      </c>
      <c r="B707" s="1" t="s">
        <v>443</v>
      </c>
      <c r="C707" s="1" t="s">
        <v>229</v>
      </c>
      <c r="D707" s="1" t="s">
        <v>214</v>
      </c>
      <c r="E707" s="1" t="s">
        <v>124</v>
      </c>
      <c r="F707" s="1" t="s">
        <v>225</v>
      </c>
      <c r="G707" s="1" t="s">
        <v>226</v>
      </c>
      <c r="H707" s="1" t="s">
        <v>128</v>
      </c>
      <c r="I707" s="1">
        <v>2</v>
      </c>
      <c r="J707" s="1">
        <v>40255</v>
      </c>
      <c r="K707" s="1">
        <v>72459</v>
      </c>
      <c r="L707" s="1" t="s">
        <v>218</v>
      </c>
      <c r="M707" s="1">
        <v>10</v>
      </c>
      <c r="N707" s="1">
        <v>15890.13</v>
      </c>
    </row>
    <row r="708" spans="1:14" x14ac:dyDescent="0.25">
      <c r="A708" s="1">
        <v>1707</v>
      </c>
      <c r="B708" s="1" t="s">
        <v>443</v>
      </c>
      <c r="C708" s="1" t="s">
        <v>219</v>
      </c>
      <c r="D708" s="1" t="s">
        <v>245</v>
      </c>
      <c r="E708" s="1" t="s">
        <v>124</v>
      </c>
      <c r="F708" s="1" t="s">
        <v>230</v>
      </c>
      <c r="G708" s="1" t="s">
        <v>241</v>
      </c>
      <c r="H708" s="1" t="s">
        <v>221</v>
      </c>
      <c r="I708" s="1">
        <v>1</v>
      </c>
      <c r="J708" s="1">
        <v>48963</v>
      </c>
      <c r="K708" s="1">
        <v>46514.85</v>
      </c>
      <c r="L708" s="1" t="s">
        <v>227</v>
      </c>
      <c r="M708" s="1">
        <v>5</v>
      </c>
      <c r="N708" s="1">
        <v>6892.34</v>
      </c>
    </row>
    <row r="709" spans="1:14" x14ac:dyDescent="0.25">
      <c r="A709" s="1">
        <v>1708</v>
      </c>
      <c r="B709" s="1" t="s">
        <v>443</v>
      </c>
      <c r="C709" s="1" t="s">
        <v>223</v>
      </c>
      <c r="D709" s="1" t="s">
        <v>232</v>
      </c>
      <c r="E709" s="1" t="s">
        <v>233</v>
      </c>
      <c r="F709" s="1" t="s">
        <v>225</v>
      </c>
      <c r="G709" s="1" t="s">
        <v>248</v>
      </c>
      <c r="H709" s="1" t="s">
        <v>217</v>
      </c>
      <c r="I709" s="1">
        <v>5</v>
      </c>
      <c r="J709" s="1">
        <v>38046</v>
      </c>
      <c r="K709" s="1">
        <v>180718.5</v>
      </c>
      <c r="L709" s="1" t="s">
        <v>240</v>
      </c>
      <c r="M709" s="1">
        <v>5</v>
      </c>
      <c r="N709" s="1">
        <v>24725.69</v>
      </c>
    </row>
    <row r="710" spans="1:14" x14ac:dyDescent="0.25">
      <c r="A710" s="1">
        <v>1709</v>
      </c>
      <c r="B710" s="1" t="s">
        <v>443</v>
      </c>
      <c r="C710" s="1" t="s">
        <v>213</v>
      </c>
      <c r="D710" s="1" t="s">
        <v>224</v>
      </c>
      <c r="E710" s="1" t="s">
        <v>233</v>
      </c>
      <c r="F710" s="1" t="s">
        <v>230</v>
      </c>
      <c r="G710" s="1" t="s">
        <v>231</v>
      </c>
      <c r="H710" s="1" t="s">
        <v>128</v>
      </c>
      <c r="I710" s="1">
        <v>3</v>
      </c>
      <c r="J710" s="1">
        <v>32032</v>
      </c>
      <c r="K710" s="1">
        <v>86486.399999999994</v>
      </c>
      <c r="L710" s="1" t="s">
        <v>218</v>
      </c>
      <c r="M710" s="1">
        <v>10</v>
      </c>
      <c r="N710" s="1">
        <v>12521.43</v>
      </c>
    </row>
    <row r="711" spans="1:14" x14ac:dyDescent="0.25">
      <c r="A711" s="1">
        <v>1710</v>
      </c>
      <c r="B711" s="1" t="s">
        <v>443</v>
      </c>
      <c r="C711" s="1" t="s">
        <v>213</v>
      </c>
      <c r="D711" s="1" t="s">
        <v>220</v>
      </c>
      <c r="E711" s="1" t="s">
        <v>85</v>
      </c>
      <c r="F711" s="1" t="s">
        <v>225</v>
      </c>
      <c r="G711" s="1" t="s">
        <v>236</v>
      </c>
      <c r="H711" s="1" t="s">
        <v>234</v>
      </c>
      <c r="I711" s="1">
        <v>3</v>
      </c>
      <c r="J711" s="1">
        <v>16358</v>
      </c>
      <c r="K711" s="1">
        <v>41712.9</v>
      </c>
      <c r="L711" s="1" t="s">
        <v>222</v>
      </c>
      <c r="M711" s="1">
        <v>15</v>
      </c>
      <c r="N711" s="1">
        <v>8116.6</v>
      </c>
    </row>
    <row r="712" spans="1:14" x14ac:dyDescent="0.25">
      <c r="A712" s="1">
        <v>1711</v>
      </c>
      <c r="B712" s="1" t="s">
        <v>444</v>
      </c>
      <c r="C712" s="1" t="s">
        <v>219</v>
      </c>
      <c r="D712" s="1" t="s">
        <v>245</v>
      </c>
      <c r="E712" s="1" t="s">
        <v>124</v>
      </c>
      <c r="F712" s="1" t="s">
        <v>225</v>
      </c>
      <c r="G712" s="1" t="s">
        <v>248</v>
      </c>
      <c r="H712" s="1" t="s">
        <v>217</v>
      </c>
      <c r="I712" s="1">
        <v>3</v>
      </c>
      <c r="J712" s="1">
        <v>38107</v>
      </c>
      <c r="K712" s="1">
        <v>114321</v>
      </c>
      <c r="L712" s="1" t="s">
        <v>240</v>
      </c>
      <c r="M712" s="1">
        <v>0</v>
      </c>
      <c r="N712" s="1">
        <v>22169.64</v>
      </c>
    </row>
    <row r="713" spans="1:14" x14ac:dyDescent="0.25">
      <c r="A713" s="1">
        <v>1712</v>
      </c>
      <c r="B713" s="1" t="s">
        <v>444</v>
      </c>
      <c r="C713" s="1" t="s">
        <v>229</v>
      </c>
      <c r="D713" s="1" t="s">
        <v>214</v>
      </c>
      <c r="E713" s="1" t="s">
        <v>124</v>
      </c>
      <c r="F713" s="1" t="s">
        <v>215</v>
      </c>
      <c r="G713" s="1" t="s">
        <v>246</v>
      </c>
      <c r="H713" s="1" t="s">
        <v>234</v>
      </c>
      <c r="I713" s="1">
        <v>2</v>
      </c>
      <c r="J713" s="1">
        <v>46408</v>
      </c>
      <c r="K713" s="1">
        <v>92816</v>
      </c>
      <c r="L713" s="1" t="s">
        <v>227</v>
      </c>
      <c r="M713" s="1">
        <v>0</v>
      </c>
      <c r="N713" s="1">
        <v>23785.16</v>
      </c>
    </row>
    <row r="714" spans="1:14" x14ac:dyDescent="0.25">
      <c r="A714" s="1">
        <v>1713</v>
      </c>
      <c r="B714" s="1" t="s">
        <v>444</v>
      </c>
      <c r="C714" s="1" t="s">
        <v>213</v>
      </c>
      <c r="D714" s="1" t="s">
        <v>245</v>
      </c>
      <c r="E714" s="1" t="s">
        <v>124</v>
      </c>
      <c r="F714" s="1" t="s">
        <v>230</v>
      </c>
      <c r="G714" s="1" t="s">
        <v>231</v>
      </c>
      <c r="H714" s="1" t="s">
        <v>221</v>
      </c>
      <c r="I714" s="1">
        <v>2</v>
      </c>
      <c r="J714" s="1">
        <v>16192</v>
      </c>
      <c r="K714" s="1">
        <v>32384</v>
      </c>
      <c r="L714" s="1" t="s">
        <v>218</v>
      </c>
      <c r="M714" s="1">
        <v>0</v>
      </c>
      <c r="N714" s="1">
        <v>5100.79</v>
      </c>
    </row>
    <row r="715" spans="1:14" x14ac:dyDescent="0.25">
      <c r="A715" s="1">
        <v>1714</v>
      </c>
      <c r="B715" s="1" t="s">
        <v>445</v>
      </c>
      <c r="C715" s="1" t="s">
        <v>239</v>
      </c>
      <c r="D715" s="1" t="s">
        <v>220</v>
      </c>
      <c r="E715" s="1" t="s">
        <v>85</v>
      </c>
      <c r="F715" s="1" t="s">
        <v>225</v>
      </c>
      <c r="G715" s="1" t="s">
        <v>236</v>
      </c>
      <c r="H715" s="1" t="s">
        <v>128</v>
      </c>
      <c r="I715" s="1">
        <v>5</v>
      </c>
      <c r="J715" s="1">
        <v>10199</v>
      </c>
      <c r="K715" s="1">
        <v>45895.5</v>
      </c>
      <c r="L715" s="1" t="s">
        <v>218</v>
      </c>
      <c r="M715" s="1">
        <v>10</v>
      </c>
      <c r="N715" s="1">
        <v>7380.56</v>
      </c>
    </row>
    <row r="716" spans="1:14" x14ac:dyDescent="0.25">
      <c r="A716" s="1">
        <v>1715</v>
      </c>
      <c r="B716" s="1" t="s">
        <v>445</v>
      </c>
      <c r="C716" s="1" t="s">
        <v>219</v>
      </c>
      <c r="D716" s="1" t="s">
        <v>224</v>
      </c>
      <c r="E716" s="1" t="s">
        <v>233</v>
      </c>
      <c r="F716" s="1" t="s">
        <v>230</v>
      </c>
      <c r="G716" s="1" t="s">
        <v>241</v>
      </c>
      <c r="H716" s="1" t="s">
        <v>221</v>
      </c>
      <c r="I716" s="1">
        <v>2</v>
      </c>
      <c r="J716" s="1">
        <v>41072</v>
      </c>
      <c r="K716" s="1">
        <v>82144</v>
      </c>
      <c r="L716" s="1" t="s">
        <v>222</v>
      </c>
      <c r="M716" s="1">
        <v>0</v>
      </c>
      <c r="N716" s="1">
        <v>14624.02</v>
      </c>
    </row>
    <row r="717" spans="1:14" x14ac:dyDescent="0.25">
      <c r="A717" s="1">
        <v>1716</v>
      </c>
      <c r="B717" s="1" t="s">
        <v>445</v>
      </c>
      <c r="C717" s="1" t="s">
        <v>223</v>
      </c>
      <c r="D717" s="1" t="s">
        <v>220</v>
      </c>
      <c r="E717" s="1" t="s">
        <v>85</v>
      </c>
      <c r="F717" s="1" t="s">
        <v>215</v>
      </c>
      <c r="G717" s="1" t="s">
        <v>216</v>
      </c>
      <c r="H717" s="1" t="s">
        <v>128</v>
      </c>
      <c r="I717" s="1">
        <v>4</v>
      </c>
      <c r="J717" s="1">
        <v>31924</v>
      </c>
      <c r="K717" s="1">
        <v>127696</v>
      </c>
      <c r="L717" s="1" t="s">
        <v>227</v>
      </c>
      <c r="M717" s="1">
        <v>0</v>
      </c>
      <c r="N717" s="1">
        <v>25913.16</v>
      </c>
    </row>
    <row r="718" spans="1:14" x14ac:dyDescent="0.25">
      <c r="A718" s="1">
        <v>1717</v>
      </c>
      <c r="B718" s="1" t="s">
        <v>445</v>
      </c>
      <c r="C718" s="1" t="s">
        <v>239</v>
      </c>
      <c r="D718" s="1" t="s">
        <v>232</v>
      </c>
      <c r="E718" s="1" t="s">
        <v>233</v>
      </c>
      <c r="F718" s="1" t="s">
        <v>225</v>
      </c>
      <c r="G718" s="1" t="s">
        <v>248</v>
      </c>
      <c r="H718" s="1" t="s">
        <v>234</v>
      </c>
      <c r="I718" s="1">
        <v>2</v>
      </c>
      <c r="J718" s="1">
        <v>31195</v>
      </c>
      <c r="K718" s="1">
        <v>62390</v>
      </c>
      <c r="L718" s="1" t="s">
        <v>222</v>
      </c>
      <c r="M718" s="1">
        <v>0</v>
      </c>
      <c r="N718" s="1">
        <v>11237.04</v>
      </c>
    </row>
    <row r="719" spans="1:14" x14ac:dyDescent="0.25">
      <c r="A719" s="1">
        <v>1718</v>
      </c>
      <c r="B719" s="1" t="s">
        <v>446</v>
      </c>
      <c r="C719" s="1" t="s">
        <v>239</v>
      </c>
      <c r="D719" s="1" t="s">
        <v>232</v>
      </c>
      <c r="E719" s="1" t="s">
        <v>233</v>
      </c>
      <c r="F719" s="1" t="s">
        <v>230</v>
      </c>
      <c r="G719" s="1" t="s">
        <v>231</v>
      </c>
      <c r="H719" s="1" t="s">
        <v>221</v>
      </c>
      <c r="I719" s="1">
        <v>2</v>
      </c>
      <c r="J719" s="1">
        <v>41029</v>
      </c>
      <c r="K719" s="1">
        <v>82058</v>
      </c>
      <c r="L719" s="1" t="s">
        <v>240</v>
      </c>
      <c r="M719" s="1">
        <v>0</v>
      </c>
      <c r="N719" s="1">
        <v>22050.2</v>
      </c>
    </row>
    <row r="720" spans="1:14" x14ac:dyDescent="0.25">
      <c r="A720" s="1">
        <v>1719</v>
      </c>
      <c r="B720" s="1" t="s">
        <v>446</v>
      </c>
      <c r="C720" s="1" t="s">
        <v>213</v>
      </c>
      <c r="D720" s="1" t="s">
        <v>220</v>
      </c>
      <c r="E720" s="1" t="s">
        <v>85</v>
      </c>
      <c r="F720" s="1" t="s">
        <v>230</v>
      </c>
      <c r="G720" s="1" t="s">
        <v>241</v>
      </c>
      <c r="H720" s="1" t="s">
        <v>128</v>
      </c>
      <c r="I720" s="1">
        <v>4</v>
      </c>
      <c r="J720" s="1">
        <v>23924</v>
      </c>
      <c r="K720" s="1">
        <v>95696</v>
      </c>
      <c r="L720" s="1" t="s">
        <v>218</v>
      </c>
      <c r="M720" s="1">
        <v>0</v>
      </c>
      <c r="N720" s="1">
        <v>22818.34</v>
      </c>
    </row>
    <row r="721" spans="1:14" x14ac:dyDescent="0.25">
      <c r="A721" s="1">
        <v>1720</v>
      </c>
      <c r="B721" s="1" t="s">
        <v>446</v>
      </c>
      <c r="C721" s="1" t="s">
        <v>239</v>
      </c>
      <c r="D721" s="1" t="s">
        <v>245</v>
      </c>
      <c r="E721" s="1" t="s">
        <v>124</v>
      </c>
      <c r="F721" s="1" t="s">
        <v>225</v>
      </c>
      <c r="G721" s="1" t="s">
        <v>236</v>
      </c>
      <c r="H721" s="1" t="s">
        <v>128</v>
      </c>
      <c r="I721" s="1">
        <v>5</v>
      </c>
      <c r="J721" s="1">
        <v>48539</v>
      </c>
      <c r="K721" s="1">
        <v>206290.75</v>
      </c>
      <c r="L721" s="1" t="s">
        <v>222</v>
      </c>
      <c r="M721" s="1">
        <v>15</v>
      </c>
      <c r="N721" s="1">
        <v>51875.360000000001</v>
      </c>
    </row>
    <row r="722" spans="1:14" x14ac:dyDescent="0.25">
      <c r="A722" s="1">
        <v>1721</v>
      </c>
      <c r="B722" s="1" t="s">
        <v>446</v>
      </c>
      <c r="C722" s="1" t="s">
        <v>223</v>
      </c>
      <c r="D722" s="1" t="s">
        <v>214</v>
      </c>
      <c r="E722" s="1" t="s">
        <v>124</v>
      </c>
      <c r="F722" s="1" t="s">
        <v>230</v>
      </c>
      <c r="G722" s="1" t="s">
        <v>241</v>
      </c>
      <c r="H722" s="1" t="s">
        <v>234</v>
      </c>
      <c r="I722" s="1">
        <v>5</v>
      </c>
      <c r="J722" s="1">
        <v>20182</v>
      </c>
      <c r="K722" s="1">
        <v>95864.5</v>
      </c>
      <c r="L722" s="1" t="s">
        <v>222</v>
      </c>
      <c r="M722" s="1">
        <v>5</v>
      </c>
      <c r="N722" s="1">
        <v>17676.73</v>
      </c>
    </row>
    <row r="723" spans="1:14" x14ac:dyDescent="0.25">
      <c r="A723" s="1">
        <v>1722</v>
      </c>
      <c r="B723" s="1" t="s">
        <v>446</v>
      </c>
      <c r="C723" s="1" t="s">
        <v>219</v>
      </c>
      <c r="D723" s="1" t="s">
        <v>214</v>
      </c>
      <c r="E723" s="1" t="s">
        <v>124</v>
      </c>
      <c r="F723" s="1" t="s">
        <v>225</v>
      </c>
      <c r="G723" s="1" t="s">
        <v>226</v>
      </c>
      <c r="H723" s="1" t="s">
        <v>234</v>
      </c>
      <c r="I723" s="1">
        <v>5</v>
      </c>
      <c r="J723" s="1">
        <v>26524</v>
      </c>
      <c r="K723" s="1">
        <v>125989</v>
      </c>
      <c r="L723" s="1" t="s">
        <v>227</v>
      </c>
      <c r="M723" s="1">
        <v>5</v>
      </c>
      <c r="N723" s="1">
        <v>22669.4</v>
      </c>
    </row>
    <row r="724" spans="1:14" x14ac:dyDescent="0.25">
      <c r="A724" s="1">
        <v>1723</v>
      </c>
      <c r="B724" s="1" t="s">
        <v>447</v>
      </c>
      <c r="C724" s="1" t="s">
        <v>223</v>
      </c>
      <c r="D724" s="1" t="s">
        <v>245</v>
      </c>
      <c r="E724" s="1" t="s">
        <v>124</v>
      </c>
      <c r="F724" s="1" t="s">
        <v>230</v>
      </c>
      <c r="G724" s="1" t="s">
        <v>231</v>
      </c>
      <c r="H724" s="1" t="s">
        <v>221</v>
      </c>
      <c r="I724" s="1">
        <v>2</v>
      </c>
      <c r="J724" s="1">
        <v>25198</v>
      </c>
      <c r="K724" s="1">
        <v>50396</v>
      </c>
      <c r="L724" s="1" t="s">
        <v>240</v>
      </c>
      <c r="M724" s="1">
        <v>0</v>
      </c>
      <c r="N724" s="1">
        <v>12531.27</v>
      </c>
    </row>
    <row r="725" spans="1:14" x14ac:dyDescent="0.25">
      <c r="A725" s="1">
        <v>1724</v>
      </c>
      <c r="B725" s="1" t="s">
        <v>447</v>
      </c>
      <c r="C725" s="1" t="s">
        <v>239</v>
      </c>
      <c r="D725" s="1" t="s">
        <v>245</v>
      </c>
      <c r="E725" s="1" t="s">
        <v>124</v>
      </c>
      <c r="F725" s="1" t="s">
        <v>230</v>
      </c>
      <c r="G725" s="1" t="s">
        <v>242</v>
      </c>
      <c r="H725" s="1" t="s">
        <v>221</v>
      </c>
      <c r="I725" s="1">
        <v>3</v>
      </c>
      <c r="J725" s="1">
        <v>30178</v>
      </c>
      <c r="K725" s="1">
        <v>90534</v>
      </c>
      <c r="L725" s="1" t="s">
        <v>227</v>
      </c>
      <c r="M725" s="1">
        <v>0</v>
      </c>
      <c r="N725" s="1">
        <v>23552.05</v>
      </c>
    </row>
    <row r="726" spans="1:14" x14ac:dyDescent="0.25">
      <c r="A726" s="1">
        <v>1725</v>
      </c>
      <c r="B726" s="1" t="s">
        <v>447</v>
      </c>
      <c r="C726" s="1" t="s">
        <v>223</v>
      </c>
      <c r="D726" s="1" t="s">
        <v>224</v>
      </c>
      <c r="E726" s="1" t="s">
        <v>233</v>
      </c>
      <c r="F726" s="1" t="s">
        <v>215</v>
      </c>
      <c r="G726" s="1" t="s">
        <v>244</v>
      </c>
      <c r="H726" s="1" t="s">
        <v>217</v>
      </c>
      <c r="I726" s="1">
        <v>5</v>
      </c>
      <c r="J726" s="1">
        <v>44311</v>
      </c>
      <c r="K726" s="1">
        <v>221555</v>
      </c>
      <c r="L726" s="1" t="s">
        <v>218</v>
      </c>
      <c r="M726" s="1">
        <v>0</v>
      </c>
      <c r="N726" s="1">
        <v>44818.34</v>
      </c>
    </row>
    <row r="727" spans="1:14" x14ac:dyDescent="0.25">
      <c r="A727" s="1">
        <v>1726</v>
      </c>
      <c r="B727" s="1" t="s">
        <v>447</v>
      </c>
      <c r="C727" s="1" t="s">
        <v>229</v>
      </c>
      <c r="D727" s="1" t="s">
        <v>232</v>
      </c>
      <c r="E727" s="1" t="s">
        <v>233</v>
      </c>
      <c r="F727" s="1" t="s">
        <v>215</v>
      </c>
      <c r="G727" s="1" t="s">
        <v>246</v>
      </c>
      <c r="H727" s="1" t="s">
        <v>234</v>
      </c>
      <c r="I727" s="1">
        <v>2</v>
      </c>
      <c r="J727" s="1">
        <v>45636</v>
      </c>
      <c r="K727" s="1">
        <v>82144.800000000003</v>
      </c>
      <c r="L727" s="1" t="s">
        <v>240</v>
      </c>
      <c r="M727" s="1">
        <v>10</v>
      </c>
      <c r="N727" s="1">
        <v>16042.28</v>
      </c>
    </row>
    <row r="728" spans="1:14" x14ac:dyDescent="0.25">
      <c r="A728" s="1">
        <v>1727</v>
      </c>
      <c r="B728" s="1" t="s">
        <v>448</v>
      </c>
      <c r="C728" s="1" t="s">
        <v>219</v>
      </c>
      <c r="D728" s="1" t="s">
        <v>232</v>
      </c>
      <c r="E728" s="1" t="s">
        <v>233</v>
      </c>
      <c r="F728" s="1" t="s">
        <v>225</v>
      </c>
      <c r="G728" s="1" t="s">
        <v>236</v>
      </c>
      <c r="H728" s="1" t="s">
        <v>234</v>
      </c>
      <c r="I728" s="1">
        <v>2</v>
      </c>
      <c r="J728" s="1">
        <v>32698</v>
      </c>
      <c r="K728" s="1">
        <v>62126.2</v>
      </c>
      <c r="L728" s="1" t="s">
        <v>227</v>
      </c>
      <c r="M728" s="1">
        <v>5</v>
      </c>
      <c r="N728" s="1">
        <v>9104.67</v>
      </c>
    </row>
    <row r="729" spans="1:14" x14ac:dyDescent="0.25">
      <c r="A729" s="1">
        <v>1728</v>
      </c>
      <c r="B729" s="1" t="s">
        <v>448</v>
      </c>
      <c r="C729" s="1" t="s">
        <v>219</v>
      </c>
      <c r="D729" s="1" t="s">
        <v>245</v>
      </c>
      <c r="E729" s="1" t="s">
        <v>124</v>
      </c>
      <c r="F729" s="1" t="s">
        <v>215</v>
      </c>
      <c r="G729" s="1" t="s">
        <v>246</v>
      </c>
      <c r="H729" s="1" t="s">
        <v>128</v>
      </c>
      <c r="I729" s="1">
        <v>4</v>
      </c>
      <c r="J729" s="1">
        <v>34421</v>
      </c>
      <c r="K729" s="1">
        <v>130799.8</v>
      </c>
      <c r="L729" s="1" t="s">
        <v>227</v>
      </c>
      <c r="M729" s="1">
        <v>5</v>
      </c>
      <c r="N729" s="1">
        <v>13915.91</v>
      </c>
    </row>
    <row r="730" spans="1:14" x14ac:dyDescent="0.25">
      <c r="A730" s="1">
        <v>1729</v>
      </c>
      <c r="B730" s="1" t="s">
        <v>448</v>
      </c>
      <c r="C730" s="1" t="s">
        <v>229</v>
      </c>
      <c r="D730" s="1" t="s">
        <v>224</v>
      </c>
      <c r="E730" s="1" t="s">
        <v>233</v>
      </c>
      <c r="F730" s="1" t="s">
        <v>230</v>
      </c>
      <c r="G730" s="1" t="s">
        <v>231</v>
      </c>
      <c r="H730" s="1" t="s">
        <v>217</v>
      </c>
      <c r="I730" s="1">
        <v>3</v>
      </c>
      <c r="J730" s="1">
        <v>3852</v>
      </c>
      <c r="K730" s="1">
        <v>10978.2</v>
      </c>
      <c r="L730" s="1" t="s">
        <v>218</v>
      </c>
      <c r="M730" s="1">
        <v>5</v>
      </c>
      <c r="N730" s="1">
        <v>3224.14</v>
      </c>
    </row>
    <row r="731" spans="1:14" x14ac:dyDescent="0.25">
      <c r="A731" s="1">
        <v>1730</v>
      </c>
      <c r="B731" s="1" t="s">
        <v>449</v>
      </c>
      <c r="C731" s="1" t="s">
        <v>213</v>
      </c>
      <c r="D731" s="1" t="s">
        <v>220</v>
      </c>
      <c r="E731" s="1" t="s">
        <v>85</v>
      </c>
      <c r="F731" s="1" t="s">
        <v>225</v>
      </c>
      <c r="G731" s="1" t="s">
        <v>248</v>
      </c>
      <c r="H731" s="1" t="s">
        <v>128</v>
      </c>
      <c r="I731" s="1">
        <v>2</v>
      </c>
      <c r="J731" s="1">
        <v>34697</v>
      </c>
      <c r="K731" s="1">
        <v>69394</v>
      </c>
      <c r="L731" s="1" t="s">
        <v>227</v>
      </c>
      <c r="M731" s="1">
        <v>0</v>
      </c>
      <c r="N731" s="1">
        <v>20009.009999999998</v>
      </c>
    </row>
    <row r="732" spans="1:14" x14ac:dyDescent="0.25">
      <c r="A732" s="1">
        <v>1731</v>
      </c>
      <c r="B732" s="1" t="s">
        <v>449</v>
      </c>
      <c r="C732" s="1" t="s">
        <v>213</v>
      </c>
      <c r="D732" s="1" t="s">
        <v>224</v>
      </c>
      <c r="E732" s="1" t="s">
        <v>233</v>
      </c>
      <c r="F732" s="1" t="s">
        <v>215</v>
      </c>
      <c r="G732" s="1" t="s">
        <v>216</v>
      </c>
      <c r="H732" s="1" t="s">
        <v>234</v>
      </c>
      <c r="I732" s="1">
        <v>4</v>
      </c>
      <c r="J732" s="1">
        <v>30523</v>
      </c>
      <c r="K732" s="1">
        <v>122092</v>
      </c>
      <c r="L732" s="1" t="s">
        <v>240</v>
      </c>
      <c r="M732" s="1">
        <v>0</v>
      </c>
      <c r="N732" s="1">
        <v>17031.560000000001</v>
      </c>
    </row>
    <row r="733" spans="1:14" x14ac:dyDescent="0.25">
      <c r="A733" s="1">
        <v>1732</v>
      </c>
      <c r="B733" s="1" t="s">
        <v>450</v>
      </c>
      <c r="C733" s="1" t="s">
        <v>223</v>
      </c>
      <c r="D733" s="1" t="s">
        <v>220</v>
      </c>
      <c r="E733" s="1" t="s">
        <v>85</v>
      </c>
      <c r="F733" s="1" t="s">
        <v>215</v>
      </c>
      <c r="G733" s="1" t="s">
        <v>246</v>
      </c>
      <c r="H733" s="1" t="s">
        <v>221</v>
      </c>
      <c r="I733" s="1">
        <v>1</v>
      </c>
      <c r="J733" s="1">
        <v>11828</v>
      </c>
      <c r="K733" s="1">
        <v>10053.799999999999</v>
      </c>
      <c r="L733" s="1" t="s">
        <v>227</v>
      </c>
      <c r="M733" s="1">
        <v>15</v>
      </c>
      <c r="N733" s="1">
        <v>2824.75</v>
      </c>
    </row>
    <row r="734" spans="1:14" x14ac:dyDescent="0.25">
      <c r="A734" s="1">
        <v>1733</v>
      </c>
      <c r="B734" s="1" t="s">
        <v>450</v>
      </c>
      <c r="C734" s="1" t="s">
        <v>213</v>
      </c>
      <c r="D734" s="1" t="s">
        <v>214</v>
      </c>
      <c r="E734" s="1" t="s">
        <v>124</v>
      </c>
      <c r="F734" s="1" t="s">
        <v>225</v>
      </c>
      <c r="G734" s="1" t="s">
        <v>248</v>
      </c>
      <c r="H734" s="1" t="s">
        <v>234</v>
      </c>
      <c r="I734" s="1">
        <v>1</v>
      </c>
      <c r="J734" s="1">
        <v>49543</v>
      </c>
      <c r="K734" s="1">
        <v>42111.55</v>
      </c>
      <c r="L734" s="1" t="s">
        <v>240</v>
      </c>
      <c r="M734" s="1">
        <v>15</v>
      </c>
      <c r="N734" s="1">
        <v>5217.59</v>
      </c>
    </row>
    <row r="735" spans="1:14" x14ac:dyDescent="0.25">
      <c r="A735" s="1">
        <v>1734</v>
      </c>
      <c r="B735" s="1" t="s">
        <v>451</v>
      </c>
      <c r="C735" s="1" t="s">
        <v>219</v>
      </c>
      <c r="D735" s="1" t="s">
        <v>224</v>
      </c>
      <c r="E735" s="1" t="s">
        <v>233</v>
      </c>
      <c r="F735" s="1" t="s">
        <v>230</v>
      </c>
      <c r="G735" s="1" t="s">
        <v>231</v>
      </c>
      <c r="H735" s="1" t="s">
        <v>217</v>
      </c>
      <c r="I735" s="1">
        <v>4</v>
      </c>
      <c r="J735" s="1">
        <v>14701</v>
      </c>
      <c r="K735" s="1">
        <v>58804</v>
      </c>
      <c r="L735" s="1" t="s">
        <v>240</v>
      </c>
      <c r="M735" s="1">
        <v>0</v>
      </c>
      <c r="N735" s="1">
        <v>10243.200000000001</v>
      </c>
    </row>
    <row r="736" spans="1:14" x14ac:dyDescent="0.25">
      <c r="A736" s="1">
        <v>1735</v>
      </c>
      <c r="B736" s="1" t="s">
        <v>451</v>
      </c>
      <c r="C736" s="1" t="s">
        <v>229</v>
      </c>
      <c r="D736" s="1" t="s">
        <v>245</v>
      </c>
      <c r="E736" s="1" t="s">
        <v>124</v>
      </c>
      <c r="F736" s="1" t="s">
        <v>225</v>
      </c>
      <c r="G736" s="1" t="s">
        <v>248</v>
      </c>
      <c r="H736" s="1" t="s">
        <v>234</v>
      </c>
      <c r="I736" s="1">
        <v>1</v>
      </c>
      <c r="J736" s="1">
        <v>4496</v>
      </c>
      <c r="K736" s="1">
        <v>4271.2</v>
      </c>
      <c r="L736" s="1" t="s">
        <v>222</v>
      </c>
      <c r="M736" s="1">
        <v>5</v>
      </c>
      <c r="N736" s="1">
        <v>1193.93</v>
      </c>
    </row>
    <row r="737" spans="1:14" x14ac:dyDescent="0.25">
      <c r="A737" s="1">
        <v>1736</v>
      </c>
      <c r="B737" s="1" t="s">
        <v>451</v>
      </c>
      <c r="C737" s="1" t="s">
        <v>229</v>
      </c>
      <c r="D737" s="1" t="s">
        <v>214</v>
      </c>
      <c r="E737" s="1" t="s">
        <v>124</v>
      </c>
      <c r="F737" s="1" t="s">
        <v>225</v>
      </c>
      <c r="G737" s="1" t="s">
        <v>236</v>
      </c>
      <c r="H737" s="1" t="s">
        <v>234</v>
      </c>
      <c r="I737" s="1">
        <v>5</v>
      </c>
      <c r="J737" s="1">
        <v>12148</v>
      </c>
      <c r="K737" s="1">
        <v>51629</v>
      </c>
      <c r="L737" s="1" t="s">
        <v>222</v>
      </c>
      <c r="M737" s="1">
        <v>15</v>
      </c>
      <c r="N737" s="1">
        <v>9599.08</v>
      </c>
    </row>
    <row r="738" spans="1:14" x14ac:dyDescent="0.25">
      <c r="A738" s="1">
        <v>1737</v>
      </c>
      <c r="B738" s="1" t="s">
        <v>451</v>
      </c>
      <c r="C738" s="1" t="s">
        <v>223</v>
      </c>
      <c r="D738" s="1" t="s">
        <v>245</v>
      </c>
      <c r="E738" s="1" t="s">
        <v>124</v>
      </c>
      <c r="F738" s="1" t="s">
        <v>215</v>
      </c>
      <c r="G738" s="1" t="s">
        <v>244</v>
      </c>
      <c r="H738" s="1" t="s">
        <v>221</v>
      </c>
      <c r="I738" s="1">
        <v>4</v>
      </c>
      <c r="J738" s="1">
        <v>24606</v>
      </c>
      <c r="K738" s="1">
        <v>88581.6</v>
      </c>
      <c r="L738" s="1" t="s">
        <v>240</v>
      </c>
      <c r="M738" s="1">
        <v>10</v>
      </c>
      <c r="N738" s="1">
        <v>11959.82</v>
      </c>
    </row>
    <row r="739" spans="1:14" x14ac:dyDescent="0.25">
      <c r="A739" s="1">
        <v>1738</v>
      </c>
      <c r="B739" s="1" t="s">
        <v>452</v>
      </c>
      <c r="C739" s="1" t="s">
        <v>219</v>
      </c>
      <c r="D739" s="1" t="s">
        <v>232</v>
      </c>
      <c r="E739" s="1" t="s">
        <v>233</v>
      </c>
      <c r="F739" s="1" t="s">
        <v>230</v>
      </c>
      <c r="G739" s="1" t="s">
        <v>242</v>
      </c>
      <c r="H739" s="1" t="s">
        <v>234</v>
      </c>
      <c r="I739" s="1">
        <v>2</v>
      </c>
      <c r="J739" s="1">
        <v>24264</v>
      </c>
      <c r="K739" s="1">
        <v>48528</v>
      </c>
      <c r="L739" s="1" t="s">
        <v>222</v>
      </c>
      <c r="M739" s="1">
        <v>0</v>
      </c>
      <c r="N739" s="1">
        <v>10389.35</v>
      </c>
    </row>
    <row r="740" spans="1:14" x14ac:dyDescent="0.25">
      <c r="A740" s="1">
        <v>1739</v>
      </c>
      <c r="B740" s="1" t="s">
        <v>452</v>
      </c>
      <c r="C740" s="1" t="s">
        <v>213</v>
      </c>
      <c r="D740" s="1" t="s">
        <v>214</v>
      </c>
      <c r="E740" s="1" t="s">
        <v>124</v>
      </c>
      <c r="F740" s="1" t="s">
        <v>215</v>
      </c>
      <c r="G740" s="1" t="s">
        <v>216</v>
      </c>
      <c r="H740" s="1" t="s">
        <v>217</v>
      </c>
      <c r="I740" s="1">
        <v>4</v>
      </c>
      <c r="J740" s="1">
        <v>3827</v>
      </c>
      <c r="K740" s="1">
        <v>15308</v>
      </c>
      <c r="L740" s="1" t="s">
        <v>222</v>
      </c>
      <c r="M740" s="1">
        <v>0</v>
      </c>
      <c r="N740" s="1">
        <v>3896.23</v>
      </c>
    </row>
    <row r="741" spans="1:14" x14ac:dyDescent="0.25">
      <c r="A741" s="1">
        <v>1740</v>
      </c>
      <c r="B741" s="1" t="s">
        <v>452</v>
      </c>
      <c r="C741" s="1" t="s">
        <v>229</v>
      </c>
      <c r="D741" s="1" t="s">
        <v>232</v>
      </c>
      <c r="E741" s="1" t="s">
        <v>233</v>
      </c>
      <c r="F741" s="1" t="s">
        <v>225</v>
      </c>
      <c r="G741" s="1" t="s">
        <v>248</v>
      </c>
      <c r="H741" s="1" t="s">
        <v>221</v>
      </c>
      <c r="I741" s="1">
        <v>5</v>
      </c>
      <c r="J741" s="1">
        <v>21490</v>
      </c>
      <c r="K741" s="1">
        <v>91332.5</v>
      </c>
      <c r="L741" s="1" t="s">
        <v>218</v>
      </c>
      <c r="M741" s="1">
        <v>15</v>
      </c>
      <c r="N741" s="1">
        <v>16744.259999999998</v>
      </c>
    </row>
    <row r="742" spans="1:14" x14ac:dyDescent="0.25">
      <c r="A742" s="1">
        <v>1741</v>
      </c>
      <c r="B742" s="1" t="s">
        <v>452</v>
      </c>
      <c r="C742" s="1" t="s">
        <v>219</v>
      </c>
      <c r="D742" s="1" t="s">
        <v>224</v>
      </c>
      <c r="E742" s="1" t="s">
        <v>233</v>
      </c>
      <c r="F742" s="1" t="s">
        <v>215</v>
      </c>
      <c r="G742" s="1" t="s">
        <v>246</v>
      </c>
      <c r="H742" s="1" t="s">
        <v>217</v>
      </c>
      <c r="I742" s="1">
        <v>4</v>
      </c>
      <c r="J742" s="1">
        <v>39340</v>
      </c>
      <c r="K742" s="1">
        <v>133756</v>
      </c>
      <c r="L742" s="1" t="s">
        <v>222</v>
      </c>
      <c r="M742" s="1">
        <v>15</v>
      </c>
      <c r="N742" s="1">
        <v>37932.89</v>
      </c>
    </row>
    <row r="743" spans="1:14" x14ac:dyDescent="0.25">
      <c r="A743" s="1">
        <v>1742</v>
      </c>
      <c r="B743" s="1" t="s">
        <v>452</v>
      </c>
      <c r="C743" s="1" t="s">
        <v>213</v>
      </c>
      <c r="D743" s="1" t="s">
        <v>245</v>
      </c>
      <c r="E743" s="1" t="s">
        <v>124</v>
      </c>
      <c r="F743" s="1" t="s">
        <v>215</v>
      </c>
      <c r="G743" s="1" t="s">
        <v>216</v>
      </c>
      <c r="H743" s="1" t="s">
        <v>128</v>
      </c>
      <c r="I743" s="1">
        <v>5</v>
      </c>
      <c r="J743" s="1">
        <v>44383</v>
      </c>
      <c r="K743" s="1">
        <v>188627.75</v>
      </c>
      <c r="L743" s="1" t="s">
        <v>227</v>
      </c>
      <c r="M743" s="1">
        <v>15</v>
      </c>
      <c r="N743" s="1">
        <v>28496</v>
      </c>
    </row>
    <row r="744" spans="1:14" x14ac:dyDescent="0.25">
      <c r="A744" s="1">
        <v>1743</v>
      </c>
      <c r="B744" s="1" t="s">
        <v>453</v>
      </c>
      <c r="C744" s="1" t="s">
        <v>239</v>
      </c>
      <c r="D744" s="1" t="s">
        <v>224</v>
      </c>
      <c r="E744" s="1" t="s">
        <v>233</v>
      </c>
      <c r="F744" s="1" t="s">
        <v>230</v>
      </c>
      <c r="G744" s="1" t="s">
        <v>242</v>
      </c>
      <c r="H744" s="1" t="s">
        <v>128</v>
      </c>
      <c r="I744" s="1">
        <v>2</v>
      </c>
      <c r="J744" s="1">
        <v>43469</v>
      </c>
      <c r="K744" s="1">
        <v>82591.100000000006</v>
      </c>
      <c r="L744" s="1" t="s">
        <v>240</v>
      </c>
      <c r="M744" s="1">
        <v>5</v>
      </c>
      <c r="N744" s="1">
        <v>8402.3799999999992</v>
      </c>
    </row>
    <row r="745" spans="1:14" x14ac:dyDescent="0.25">
      <c r="A745" s="1">
        <v>1744</v>
      </c>
      <c r="B745" s="1" t="s">
        <v>453</v>
      </c>
      <c r="C745" s="1" t="s">
        <v>229</v>
      </c>
      <c r="D745" s="1" t="s">
        <v>214</v>
      </c>
      <c r="E745" s="1" t="s">
        <v>124</v>
      </c>
      <c r="F745" s="1" t="s">
        <v>215</v>
      </c>
      <c r="G745" s="1" t="s">
        <v>216</v>
      </c>
      <c r="H745" s="1" t="s">
        <v>217</v>
      </c>
      <c r="I745" s="1">
        <v>5</v>
      </c>
      <c r="J745" s="1">
        <v>44556</v>
      </c>
      <c r="K745" s="1">
        <v>211641</v>
      </c>
      <c r="L745" s="1" t="s">
        <v>240</v>
      </c>
      <c r="M745" s="1">
        <v>5</v>
      </c>
      <c r="N745" s="1">
        <v>22341.02</v>
      </c>
    </row>
    <row r="746" spans="1:14" x14ac:dyDescent="0.25">
      <c r="A746" s="1">
        <v>1745</v>
      </c>
      <c r="B746" s="1" t="s">
        <v>454</v>
      </c>
      <c r="C746" s="1" t="s">
        <v>223</v>
      </c>
      <c r="D746" s="1" t="s">
        <v>232</v>
      </c>
      <c r="E746" s="1" t="s">
        <v>233</v>
      </c>
      <c r="F746" s="1" t="s">
        <v>225</v>
      </c>
      <c r="G746" s="1" t="s">
        <v>226</v>
      </c>
      <c r="H746" s="1" t="s">
        <v>221</v>
      </c>
      <c r="I746" s="1">
        <v>5</v>
      </c>
      <c r="J746" s="1">
        <v>808</v>
      </c>
      <c r="K746" s="1">
        <v>3636</v>
      </c>
      <c r="L746" s="1" t="s">
        <v>227</v>
      </c>
      <c r="M746" s="1">
        <v>10</v>
      </c>
      <c r="N746" s="1">
        <v>972.21</v>
      </c>
    </row>
    <row r="747" spans="1:14" x14ac:dyDescent="0.25">
      <c r="A747" s="1">
        <v>1746</v>
      </c>
      <c r="B747" s="1" t="s">
        <v>454</v>
      </c>
      <c r="C747" s="1" t="s">
        <v>229</v>
      </c>
      <c r="D747" s="1" t="s">
        <v>220</v>
      </c>
      <c r="E747" s="1" t="s">
        <v>85</v>
      </c>
      <c r="F747" s="1" t="s">
        <v>225</v>
      </c>
      <c r="G747" s="1" t="s">
        <v>236</v>
      </c>
      <c r="H747" s="1" t="s">
        <v>234</v>
      </c>
      <c r="I747" s="1">
        <v>4</v>
      </c>
      <c r="J747" s="1">
        <v>35314</v>
      </c>
      <c r="K747" s="1">
        <v>120067.6</v>
      </c>
      <c r="L747" s="1" t="s">
        <v>218</v>
      </c>
      <c r="M747" s="1">
        <v>15</v>
      </c>
      <c r="N747" s="1">
        <v>21401.61</v>
      </c>
    </row>
    <row r="748" spans="1:14" x14ac:dyDescent="0.25">
      <c r="A748" s="1">
        <v>1747</v>
      </c>
      <c r="B748" s="1" t="s">
        <v>455</v>
      </c>
      <c r="C748" s="1" t="s">
        <v>229</v>
      </c>
      <c r="D748" s="1" t="s">
        <v>224</v>
      </c>
      <c r="E748" s="1" t="s">
        <v>233</v>
      </c>
      <c r="F748" s="1" t="s">
        <v>215</v>
      </c>
      <c r="G748" s="1" t="s">
        <v>244</v>
      </c>
      <c r="H748" s="1" t="s">
        <v>234</v>
      </c>
      <c r="I748" s="1">
        <v>2</v>
      </c>
      <c r="J748" s="1">
        <v>12928</v>
      </c>
      <c r="K748" s="1">
        <v>24563.200000000001</v>
      </c>
      <c r="L748" s="1" t="s">
        <v>222</v>
      </c>
      <c r="M748" s="1">
        <v>5</v>
      </c>
      <c r="N748" s="1">
        <v>2697.36</v>
      </c>
    </row>
    <row r="749" spans="1:14" x14ac:dyDescent="0.25">
      <c r="A749" s="1">
        <v>1748</v>
      </c>
      <c r="B749" s="1" t="s">
        <v>455</v>
      </c>
      <c r="C749" s="1" t="s">
        <v>223</v>
      </c>
      <c r="D749" s="1" t="s">
        <v>220</v>
      </c>
      <c r="E749" s="1" t="s">
        <v>85</v>
      </c>
      <c r="F749" s="1" t="s">
        <v>225</v>
      </c>
      <c r="G749" s="1" t="s">
        <v>226</v>
      </c>
      <c r="H749" s="1" t="s">
        <v>128</v>
      </c>
      <c r="I749" s="1">
        <v>5</v>
      </c>
      <c r="J749" s="1">
        <v>28712</v>
      </c>
      <c r="K749" s="1">
        <v>122026</v>
      </c>
      <c r="L749" s="1" t="s">
        <v>222</v>
      </c>
      <c r="M749" s="1">
        <v>15</v>
      </c>
      <c r="N749" s="1">
        <v>35855.519999999997</v>
      </c>
    </row>
    <row r="750" spans="1:14" x14ac:dyDescent="0.25">
      <c r="A750" s="1">
        <v>1749</v>
      </c>
      <c r="B750" s="1" t="s">
        <v>455</v>
      </c>
      <c r="C750" s="1" t="s">
        <v>239</v>
      </c>
      <c r="D750" s="1" t="s">
        <v>224</v>
      </c>
      <c r="E750" s="1" t="s">
        <v>233</v>
      </c>
      <c r="F750" s="1" t="s">
        <v>215</v>
      </c>
      <c r="G750" s="1" t="s">
        <v>216</v>
      </c>
      <c r="H750" s="1" t="s">
        <v>217</v>
      </c>
      <c r="I750" s="1">
        <v>1</v>
      </c>
      <c r="J750" s="1">
        <v>13426</v>
      </c>
      <c r="K750" s="1">
        <v>11412.1</v>
      </c>
      <c r="L750" s="1" t="s">
        <v>222</v>
      </c>
      <c r="M750" s="1">
        <v>15</v>
      </c>
      <c r="N750" s="1">
        <v>3243.32</v>
      </c>
    </row>
    <row r="751" spans="1:14" x14ac:dyDescent="0.25">
      <c r="A751" s="1">
        <v>1750</v>
      </c>
      <c r="B751" s="1" t="s">
        <v>455</v>
      </c>
      <c r="C751" s="1" t="s">
        <v>223</v>
      </c>
      <c r="D751" s="1" t="s">
        <v>220</v>
      </c>
      <c r="E751" s="1" t="s">
        <v>85</v>
      </c>
      <c r="F751" s="1" t="s">
        <v>215</v>
      </c>
      <c r="G751" s="1" t="s">
        <v>244</v>
      </c>
      <c r="H751" s="1" t="s">
        <v>128</v>
      </c>
      <c r="I751" s="1">
        <v>5</v>
      </c>
      <c r="J751" s="1">
        <v>13368</v>
      </c>
      <c r="K751" s="1">
        <v>66840</v>
      </c>
      <c r="L751" s="1" t="s">
        <v>222</v>
      </c>
      <c r="M751" s="1">
        <v>0</v>
      </c>
      <c r="N751" s="1">
        <v>16739.23</v>
      </c>
    </row>
    <row r="752" spans="1:14" x14ac:dyDescent="0.25">
      <c r="A752" s="1">
        <v>1751</v>
      </c>
      <c r="B752" s="1" t="s">
        <v>455</v>
      </c>
      <c r="C752" s="1" t="s">
        <v>219</v>
      </c>
      <c r="D752" s="1" t="s">
        <v>214</v>
      </c>
      <c r="E752" s="1" t="s">
        <v>124</v>
      </c>
      <c r="F752" s="1" t="s">
        <v>230</v>
      </c>
      <c r="G752" s="1" t="s">
        <v>241</v>
      </c>
      <c r="H752" s="1" t="s">
        <v>234</v>
      </c>
      <c r="I752" s="1">
        <v>1</v>
      </c>
      <c r="J752" s="1">
        <v>24663</v>
      </c>
      <c r="K752" s="1">
        <v>22196.7</v>
      </c>
      <c r="L752" s="1" t="s">
        <v>222</v>
      </c>
      <c r="M752" s="1">
        <v>10</v>
      </c>
      <c r="N752" s="1">
        <v>4131.5200000000004</v>
      </c>
    </row>
    <row r="753" spans="1:14" x14ac:dyDescent="0.25">
      <c r="A753" s="1">
        <v>1752</v>
      </c>
      <c r="B753" s="1" t="s">
        <v>456</v>
      </c>
      <c r="C753" s="1" t="s">
        <v>239</v>
      </c>
      <c r="D753" s="1" t="s">
        <v>245</v>
      </c>
      <c r="E753" s="1" t="s">
        <v>124</v>
      </c>
      <c r="F753" s="1" t="s">
        <v>215</v>
      </c>
      <c r="G753" s="1" t="s">
        <v>246</v>
      </c>
      <c r="H753" s="1" t="s">
        <v>221</v>
      </c>
      <c r="I753" s="1">
        <v>1</v>
      </c>
      <c r="J753" s="1">
        <v>1629</v>
      </c>
      <c r="K753" s="1">
        <v>1629</v>
      </c>
      <c r="L753" s="1" t="s">
        <v>222</v>
      </c>
      <c r="M753" s="1">
        <v>0</v>
      </c>
      <c r="N753" s="1">
        <v>411.83</v>
      </c>
    </row>
    <row r="754" spans="1:14" x14ac:dyDescent="0.25">
      <c r="A754" s="1">
        <v>1753</v>
      </c>
      <c r="B754" s="1" t="s">
        <v>456</v>
      </c>
      <c r="C754" s="1" t="s">
        <v>223</v>
      </c>
      <c r="D754" s="1" t="s">
        <v>214</v>
      </c>
      <c r="E754" s="1" t="s">
        <v>124</v>
      </c>
      <c r="F754" s="1" t="s">
        <v>230</v>
      </c>
      <c r="G754" s="1" t="s">
        <v>231</v>
      </c>
      <c r="H754" s="1" t="s">
        <v>217</v>
      </c>
      <c r="I754" s="1">
        <v>4</v>
      </c>
      <c r="J754" s="1">
        <v>43424</v>
      </c>
      <c r="K754" s="1">
        <v>165011.20000000001</v>
      </c>
      <c r="L754" s="1" t="s">
        <v>218</v>
      </c>
      <c r="M754" s="1">
        <v>5</v>
      </c>
      <c r="N754" s="1">
        <v>31517.52</v>
      </c>
    </row>
    <row r="755" spans="1:14" x14ac:dyDescent="0.25">
      <c r="A755" s="1">
        <v>1754</v>
      </c>
      <c r="B755" s="1" t="s">
        <v>457</v>
      </c>
      <c r="C755" s="1" t="s">
        <v>219</v>
      </c>
      <c r="D755" s="1" t="s">
        <v>214</v>
      </c>
      <c r="E755" s="1" t="s">
        <v>124</v>
      </c>
      <c r="F755" s="1" t="s">
        <v>230</v>
      </c>
      <c r="G755" s="1" t="s">
        <v>242</v>
      </c>
      <c r="H755" s="1" t="s">
        <v>128</v>
      </c>
      <c r="I755" s="1">
        <v>3</v>
      </c>
      <c r="J755" s="1">
        <v>42302</v>
      </c>
      <c r="K755" s="1">
        <v>126906</v>
      </c>
      <c r="L755" s="1" t="s">
        <v>222</v>
      </c>
      <c r="M755" s="1">
        <v>0</v>
      </c>
      <c r="N755" s="1">
        <v>31703.41</v>
      </c>
    </row>
    <row r="756" spans="1:14" x14ac:dyDescent="0.25">
      <c r="A756" s="1">
        <v>1755</v>
      </c>
      <c r="B756" s="1" t="s">
        <v>457</v>
      </c>
      <c r="C756" s="1" t="s">
        <v>239</v>
      </c>
      <c r="D756" s="1" t="s">
        <v>224</v>
      </c>
      <c r="E756" s="1" t="s">
        <v>233</v>
      </c>
      <c r="F756" s="1" t="s">
        <v>225</v>
      </c>
      <c r="G756" s="1" t="s">
        <v>226</v>
      </c>
      <c r="H756" s="1" t="s">
        <v>128</v>
      </c>
      <c r="I756" s="1">
        <v>2</v>
      </c>
      <c r="J756" s="1">
        <v>47326</v>
      </c>
      <c r="K756" s="1">
        <v>80454.2</v>
      </c>
      <c r="L756" s="1" t="s">
        <v>240</v>
      </c>
      <c r="M756" s="1">
        <v>15</v>
      </c>
      <c r="N756" s="1">
        <v>20919.150000000001</v>
      </c>
    </row>
    <row r="757" spans="1:14" x14ac:dyDescent="0.25">
      <c r="A757" s="1">
        <v>1756</v>
      </c>
      <c r="B757" s="1" t="s">
        <v>457</v>
      </c>
      <c r="C757" s="1" t="s">
        <v>219</v>
      </c>
      <c r="D757" s="1" t="s">
        <v>232</v>
      </c>
      <c r="E757" s="1" t="s">
        <v>233</v>
      </c>
      <c r="F757" s="1" t="s">
        <v>230</v>
      </c>
      <c r="G757" s="1" t="s">
        <v>241</v>
      </c>
      <c r="H757" s="1" t="s">
        <v>217</v>
      </c>
      <c r="I757" s="1">
        <v>3</v>
      </c>
      <c r="J757" s="1">
        <v>9770</v>
      </c>
      <c r="K757" s="1">
        <v>27844.5</v>
      </c>
      <c r="L757" s="1" t="s">
        <v>218</v>
      </c>
      <c r="M757" s="1">
        <v>5</v>
      </c>
      <c r="N757" s="1">
        <v>4071.01</v>
      </c>
    </row>
    <row r="758" spans="1:14" x14ac:dyDescent="0.25">
      <c r="A758" s="1">
        <v>1757</v>
      </c>
      <c r="B758" s="1" t="s">
        <v>458</v>
      </c>
      <c r="C758" s="1" t="s">
        <v>223</v>
      </c>
      <c r="D758" s="1" t="s">
        <v>232</v>
      </c>
      <c r="E758" s="1" t="s">
        <v>233</v>
      </c>
      <c r="F758" s="1" t="s">
        <v>225</v>
      </c>
      <c r="G758" s="1" t="s">
        <v>226</v>
      </c>
      <c r="H758" s="1" t="s">
        <v>234</v>
      </c>
      <c r="I758" s="1">
        <v>5</v>
      </c>
      <c r="J758" s="1">
        <v>48306</v>
      </c>
      <c r="K758" s="1">
        <v>229453.5</v>
      </c>
      <c r="L758" s="1" t="s">
        <v>227</v>
      </c>
      <c r="M758" s="1">
        <v>5</v>
      </c>
      <c r="N758" s="1">
        <v>62505.19</v>
      </c>
    </row>
    <row r="759" spans="1:14" x14ac:dyDescent="0.25">
      <c r="A759" s="1">
        <v>1758</v>
      </c>
      <c r="B759" s="1" t="s">
        <v>458</v>
      </c>
      <c r="C759" s="1" t="s">
        <v>239</v>
      </c>
      <c r="D759" s="1" t="s">
        <v>224</v>
      </c>
      <c r="E759" s="1" t="s">
        <v>233</v>
      </c>
      <c r="F759" s="1" t="s">
        <v>230</v>
      </c>
      <c r="G759" s="1" t="s">
        <v>241</v>
      </c>
      <c r="H759" s="1" t="s">
        <v>217</v>
      </c>
      <c r="I759" s="1">
        <v>3</v>
      </c>
      <c r="J759" s="1">
        <v>34508</v>
      </c>
      <c r="K759" s="1">
        <v>103524</v>
      </c>
      <c r="L759" s="1" t="s">
        <v>222</v>
      </c>
      <c r="M759" s="1">
        <v>0</v>
      </c>
      <c r="N759" s="1">
        <v>10803.62</v>
      </c>
    </row>
    <row r="760" spans="1:14" x14ac:dyDescent="0.25">
      <c r="A760" s="1">
        <v>1759</v>
      </c>
      <c r="B760" s="1" t="s">
        <v>458</v>
      </c>
      <c r="C760" s="1" t="s">
        <v>239</v>
      </c>
      <c r="D760" s="1" t="s">
        <v>245</v>
      </c>
      <c r="E760" s="1" t="s">
        <v>124</v>
      </c>
      <c r="F760" s="1" t="s">
        <v>225</v>
      </c>
      <c r="G760" s="1" t="s">
        <v>236</v>
      </c>
      <c r="H760" s="1" t="s">
        <v>221</v>
      </c>
      <c r="I760" s="1">
        <v>3</v>
      </c>
      <c r="J760" s="1">
        <v>37842</v>
      </c>
      <c r="K760" s="1">
        <v>96497.1</v>
      </c>
      <c r="L760" s="1" t="s">
        <v>227</v>
      </c>
      <c r="M760" s="1">
        <v>15</v>
      </c>
      <c r="N760" s="1">
        <v>18315.25</v>
      </c>
    </row>
    <row r="761" spans="1:14" x14ac:dyDescent="0.25">
      <c r="A761" s="1">
        <v>1760</v>
      </c>
      <c r="B761" s="1" t="s">
        <v>459</v>
      </c>
      <c r="C761" s="1" t="s">
        <v>239</v>
      </c>
      <c r="D761" s="1" t="s">
        <v>224</v>
      </c>
      <c r="E761" s="1" t="s">
        <v>233</v>
      </c>
      <c r="F761" s="1" t="s">
        <v>225</v>
      </c>
      <c r="G761" s="1" t="s">
        <v>236</v>
      </c>
      <c r="H761" s="1" t="s">
        <v>221</v>
      </c>
      <c r="I761" s="1">
        <v>3</v>
      </c>
      <c r="J761" s="1">
        <v>48988</v>
      </c>
      <c r="K761" s="1">
        <v>132267.6</v>
      </c>
      <c r="L761" s="1" t="s">
        <v>222</v>
      </c>
      <c r="M761" s="1">
        <v>10</v>
      </c>
      <c r="N761" s="1">
        <v>21622.13</v>
      </c>
    </row>
    <row r="762" spans="1:14" x14ac:dyDescent="0.25">
      <c r="A762" s="1">
        <v>1761</v>
      </c>
      <c r="B762" s="1" t="s">
        <v>459</v>
      </c>
      <c r="C762" s="1" t="s">
        <v>239</v>
      </c>
      <c r="D762" s="1" t="s">
        <v>214</v>
      </c>
      <c r="E762" s="1" t="s">
        <v>124</v>
      </c>
      <c r="F762" s="1" t="s">
        <v>215</v>
      </c>
      <c r="G762" s="1" t="s">
        <v>244</v>
      </c>
      <c r="H762" s="1" t="s">
        <v>217</v>
      </c>
      <c r="I762" s="1">
        <v>2</v>
      </c>
      <c r="J762" s="1">
        <v>3539</v>
      </c>
      <c r="K762" s="1">
        <v>6370.2</v>
      </c>
      <c r="L762" s="1" t="s">
        <v>227</v>
      </c>
      <c r="M762" s="1">
        <v>10</v>
      </c>
      <c r="N762" s="1">
        <v>1259.6400000000001</v>
      </c>
    </row>
    <row r="763" spans="1:14" x14ac:dyDescent="0.25">
      <c r="A763" s="1">
        <v>1762</v>
      </c>
      <c r="B763" s="1" t="s">
        <v>459</v>
      </c>
      <c r="C763" s="1" t="s">
        <v>239</v>
      </c>
      <c r="D763" s="1" t="s">
        <v>214</v>
      </c>
      <c r="E763" s="1" t="s">
        <v>124</v>
      </c>
      <c r="F763" s="1" t="s">
        <v>230</v>
      </c>
      <c r="G763" s="1" t="s">
        <v>241</v>
      </c>
      <c r="H763" s="1" t="s">
        <v>221</v>
      </c>
      <c r="I763" s="1">
        <v>4</v>
      </c>
      <c r="J763" s="1">
        <v>26561</v>
      </c>
      <c r="K763" s="1">
        <v>100931.8</v>
      </c>
      <c r="L763" s="1" t="s">
        <v>222</v>
      </c>
      <c r="M763" s="1">
        <v>5</v>
      </c>
      <c r="N763" s="1">
        <v>25389.77</v>
      </c>
    </row>
    <row r="764" spans="1:14" x14ac:dyDescent="0.25">
      <c r="A764" s="1">
        <v>1763</v>
      </c>
      <c r="B764" s="1" t="s">
        <v>460</v>
      </c>
      <c r="C764" s="1" t="s">
        <v>213</v>
      </c>
      <c r="D764" s="1" t="s">
        <v>232</v>
      </c>
      <c r="E764" s="1" t="s">
        <v>233</v>
      </c>
      <c r="F764" s="1" t="s">
        <v>230</v>
      </c>
      <c r="G764" s="1" t="s">
        <v>231</v>
      </c>
      <c r="H764" s="1" t="s">
        <v>234</v>
      </c>
      <c r="I764" s="1">
        <v>5</v>
      </c>
      <c r="J764" s="1">
        <v>16240</v>
      </c>
      <c r="K764" s="1">
        <v>81200</v>
      </c>
      <c r="L764" s="1" t="s">
        <v>218</v>
      </c>
      <c r="M764" s="1">
        <v>0</v>
      </c>
      <c r="N764" s="1">
        <v>19092.29</v>
      </c>
    </row>
    <row r="765" spans="1:14" x14ac:dyDescent="0.25">
      <c r="A765" s="1">
        <v>1764</v>
      </c>
      <c r="B765" s="1" t="s">
        <v>460</v>
      </c>
      <c r="C765" s="1" t="s">
        <v>213</v>
      </c>
      <c r="D765" s="1" t="s">
        <v>245</v>
      </c>
      <c r="E765" s="1" t="s">
        <v>124</v>
      </c>
      <c r="F765" s="1" t="s">
        <v>215</v>
      </c>
      <c r="G765" s="1" t="s">
        <v>244</v>
      </c>
      <c r="H765" s="1" t="s">
        <v>221</v>
      </c>
      <c r="I765" s="1">
        <v>5</v>
      </c>
      <c r="J765" s="1">
        <v>48866</v>
      </c>
      <c r="K765" s="1">
        <v>219897</v>
      </c>
      <c r="L765" s="1" t="s">
        <v>218</v>
      </c>
      <c r="M765" s="1">
        <v>10</v>
      </c>
      <c r="N765" s="1">
        <v>65438.65</v>
      </c>
    </row>
    <row r="766" spans="1:14" x14ac:dyDescent="0.25">
      <c r="A766" s="1">
        <v>1765</v>
      </c>
      <c r="B766" s="1" t="s">
        <v>460</v>
      </c>
      <c r="C766" s="1" t="s">
        <v>223</v>
      </c>
      <c r="D766" s="1" t="s">
        <v>220</v>
      </c>
      <c r="E766" s="1" t="s">
        <v>85</v>
      </c>
      <c r="F766" s="1" t="s">
        <v>225</v>
      </c>
      <c r="G766" s="1" t="s">
        <v>236</v>
      </c>
      <c r="H766" s="1" t="s">
        <v>221</v>
      </c>
      <c r="I766" s="1">
        <v>3</v>
      </c>
      <c r="J766" s="1">
        <v>22148</v>
      </c>
      <c r="K766" s="1">
        <v>63121.8</v>
      </c>
      <c r="L766" s="1" t="s">
        <v>227</v>
      </c>
      <c r="M766" s="1">
        <v>5</v>
      </c>
      <c r="N766" s="1">
        <v>17970.080000000002</v>
      </c>
    </row>
    <row r="767" spans="1:14" x14ac:dyDescent="0.25">
      <c r="A767" s="1">
        <v>1766</v>
      </c>
      <c r="B767" s="1" t="s">
        <v>460</v>
      </c>
      <c r="C767" s="1" t="s">
        <v>229</v>
      </c>
      <c r="D767" s="1" t="s">
        <v>220</v>
      </c>
      <c r="E767" s="1" t="s">
        <v>85</v>
      </c>
      <c r="F767" s="1" t="s">
        <v>225</v>
      </c>
      <c r="G767" s="1" t="s">
        <v>248</v>
      </c>
      <c r="H767" s="1" t="s">
        <v>217</v>
      </c>
      <c r="I767" s="1">
        <v>1</v>
      </c>
      <c r="J767" s="1">
        <v>39857</v>
      </c>
      <c r="K767" s="1">
        <v>33878.449999999997</v>
      </c>
      <c r="L767" s="1" t="s">
        <v>218</v>
      </c>
      <c r="M767" s="1">
        <v>15</v>
      </c>
      <c r="N767" s="1">
        <v>5330.74</v>
      </c>
    </row>
    <row r="768" spans="1:14" x14ac:dyDescent="0.25">
      <c r="A768" s="1">
        <v>1767</v>
      </c>
      <c r="B768" s="1" t="s">
        <v>461</v>
      </c>
      <c r="C768" s="1" t="s">
        <v>239</v>
      </c>
      <c r="D768" s="1" t="s">
        <v>214</v>
      </c>
      <c r="E768" s="1" t="s">
        <v>124</v>
      </c>
      <c r="F768" s="1" t="s">
        <v>225</v>
      </c>
      <c r="G768" s="1" t="s">
        <v>248</v>
      </c>
      <c r="H768" s="1" t="s">
        <v>217</v>
      </c>
      <c r="I768" s="1">
        <v>1</v>
      </c>
      <c r="J768" s="1">
        <v>29249</v>
      </c>
      <c r="K768" s="1">
        <v>26324.1</v>
      </c>
      <c r="L768" s="1" t="s">
        <v>240</v>
      </c>
      <c r="M768" s="1">
        <v>10</v>
      </c>
      <c r="N768" s="1">
        <v>7581.96</v>
      </c>
    </row>
    <row r="769" spans="1:14" x14ac:dyDescent="0.25">
      <c r="A769" s="1">
        <v>1768</v>
      </c>
      <c r="B769" s="1" t="s">
        <v>461</v>
      </c>
      <c r="C769" s="1" t="s">
        <v>213</v>
      </c>
      <c r="D769" s="1" t="s">
        <v>232</v>
      </c>
      <c r="E769" s="1" t="s">
        <v>233</v>
      </c>
      <c r="F769" s="1" t="s">
        <v>215</v>
      </c>
      <c r="G769" s="1" t="s">
        <v>246</v>
      </c>
      <c r="H769" s="1" t="s">
        <v>128</v>
      </c>
      <c r="I769" s="1">
        <v>2</v>
      </c>
      <c r="J769" s="1">
        <v>7304</v>
      </c>
      <c r="K769" s="1">
        <v>13147.2</v>
      </c>
      <c r="L769" s="1" t="s">
        <v>240</v>
      </c>
      <c r="M769" s="1">
        <v>10</v>
      </c>
      <c r="N769" s="1">
        <v>3671.62</v>
      </c>
    </row>
    <row r="770" spans="1:14" x14ac:dyDescent="0.25">
      <c r="A770" s="1">
        <v>1769</v>
      </c>
      <c r="B770" s="1" t="s">
        <v>461</v>
      </c>
      <c r="C770" s="1" t="s">
        <v>229</v>
      </c>
      <c r="D770" s="1" t="s">
        <v>220</v>
      </c>
      <c r="E770" s="1" t="s">
        <v>85</v>
      </c>
      <c r="F770" s="1" t="s">
        <v>215</v>
      </c>
      <c r="G770" s="1" t="s">
        <v>244</v>
      </c>
      <c r="H770" s="1" t="s">
        <v>234</v>
      </c>
      <c r="I770" s="1">
        <v>2</v>
      </c>
      <c r="J770" s="1">
        <v>13356</v>
      </c>
      <c r="K770" s="1">
        <v>25376.400000000001</v>
      </c>
      <c r="L770" s="1" t="s">
        <v>222</v>
      </c>
      <c r="M770" s="1">
        <v>5</v>
      </c>
      <c r="N770" s="1">
        <v>2886.99</v>
      </c>
    </row>
    <row r="771" spans="1:14" x14ac:dyDescent="0.25">
      <c r="A771" s="1">
        <v>1770</v>
      </c>
      <c r="B771" s="1" t="s">
        <v>462</v>
      </c>
      <c r="C771" s="1" t="s">
        <v>223</v>
      </c>
      <c r="D771" s="1" t="s">
        <v>214</v>
      </c>
      <c r="E771" s="1" t="s">
        <v>124</v>
      </c>
      <c r="F771" s="1" t="s">
        <v>225</v>
      </c>
      <c r="G771" s="1" t="s">
        <v>236</v>
      </c>
      <c r="H771" s="1" t="s">
        <v>234</v>
      </c>
      <c r="I771" s="1">
        <v>4</v>
      </c>
      <c r="J771" s="1">
        <v>33342</v>
      </c>
      <c r="K771" s="1">
        <v>133368</v>
      </c>
      <c r="L771" s="1" t="s">
        <v>240</v>
      </c>
      <c r="M771" s="1">
        <v>0</v>
      </c>
      <c r="N771" s="1">
        <v>26031.61</v>
      </c>
    </row>
    <row r="772" spans="1:14" x14ac:dyDescent="0.25">
      <c r="A772" s="1">
        <v>1771</v>
      </c>
      <c r="B772" s="1" t="s">
        <v>462</v>
      </c>
      <c r="C772" s="1" t="s">
        <v>239</v>
      </c>
      <c r="D772" s="1" t="s">
        <v>245</v>
      </c>
      <c r="E772" s="1" t="s">
        <v>124</v>
      </c>
      <c r="F772" s="1" t="s">
        <v>215</v>
      </c>
      <c r="G772" s="1" t="s">
        <v>246</v>
      </c>
      <c r="H772" s="1" t="s">
        <v>128</v>
      </c>
      <c r="I772" s="1">
        <v>5</v>
      </c>
      <c r="J772" s="1">
        <v>38562</v>
      </c>
      <c r="K772" s="1">
        <v>183169.5</v>
      </c>
      <c r="L772" s="1" t="s">
        <v>218</v>
      </c>
      <c r="M772" s="1">
        <v>5</v>
      </c>
      <c r="N772" s="1">
        <v>45956.69</v>
      </c>
    </row>
    <row r="773" spans="1:14" x14ac:dyDescent="0.25">
      <c r="A773" s="1">
        <v>1772</v>
      </c>
      <c r="B773" s="1" t="s">
        <v>462</v>
      </c>
      <c r="C773" s="1" t="s">
        <v>239</v>
      </c>
      <c r="D773" s="1" t="s">
        <v>232</v>
      </c>
      <c r="E773" s="1" t="s">
        <v>233</v>
      </c>
      <c r="F773" s="1" t="s">
        <v>225</v>
      </c>
      <c r="G773" s="1" t="s">
        <v>248</v>
      </c>
      <c r="H773" s="1" t="s">
        <v>221</v>
      </c>
      <c r="I773" s="1">
        <v>5</v>
      </c>
      <c r="J773" s="1">
        <v>6138</v>
      </c>
      <c r="K773" s="1">
        <v>27621</v>
      </c>
      <c r="L773" s="1" t="s">
        <v>227</v>
      </c>
      <c r="M773" s="1">
        <v>10</v>
      </c>
      <c r="N773" s="1">
        <v>7860.54</v>
      </c>
    </row>
    <row r="774" spans="1:14" x14ac:dyDescent="0.25">
      <c r="A774" s="1">
        <v>1773</v>
      </c>
      <c r="B774" s="1" t="s">
        <v>462</v>
      </c>
      <c r="C774" s="1" t="s">
        <v>239</v>
      </c>
      <c r="D774" s="1" t="s">
        <v>232</v>
      </c>
      <c r="E774" s="1" t="s">
        <v>233</v>
      </c>
      <c r="F774" s="1" t="s">
        <v>225</v>
      </c>
      <c r="G774" s="1" t="s">
        <v>248</v>
      </c>
      <c r="H774" s="1" t="s">
        <v>234</v>
      </c>
      <c r="I774" s="1">
        <v>1</v>
      </c>
      <c r="J774" s="1">
        <v>24675</v>
      </c>
      <c r="K774" s="1">
        <v>20973.75</v>
      </c>
      <c r="L774" s="1" t="s">
        <v>222</v>
      </c>
      <c r="M774" s="1">
        <v>15</v>
      </c>
      <c r="N774" s="1">
        <v>5156.13</v>
      </c>
    </row>
    <row r="775" spans="1:14" x14ac:dyDescent="0.25">
      <c r="A775" s="1">
        <v>1774</v>
      </c>
      <c r="B775" s="1" t="s">
        <v>463</v>
      </c>
      <c r="C775" s="1" t="s">
        <v>213</v>
      </c>
      <c r="D775" s="1" t="s">
        <v>214</v>
      </c>
      <c r="E775" s="1" t="s">
        <v>124</v>
      </c>
      <c r="F775" s="1" t="s">
        <v>230</v>
      </c>
      <c r="G775" s="1" t="s">
        <v>242</v>
      </c>
      <c r="H775" s="1" t="s">
        <v>234</v>
      </c>
      <c r="I775" s="1">
        <v>5</v>
      </c>
      <c r="J775" s="1">
        <v>35409</v>
      </c>
      <c r="K775" s="1">
        <v>168192.75</v>
      </c>
      <c r="L775" s="1" t="s">
        <v>240</v>
      </c>
      <c r="M775" s="1">
        <v>5</v>
      </c>
      <c r="N775" s="1">
        <v>31827.07</v>
      </c>
    </row>
    <row r="776" spans="1:14" x14ac:dyDescent="0.25">
      <c r="A776" s="1">
        <v>1775</v>
      </c>
      <c r="B776" s="1" t="s">
        <v>463</v>
      </c>
      <c r="C776" s="1" t="s">
        <v>223</v>
      </c>
      <c r="D776" s="1" t="s">
        <v>224</v>
      </c>
      <c r="E776" s="1" t="s">
        <v>233</v>
      </c>
      <c r="F776" s="1" t="s">
        <v>230</v>
      </c>
      <c r="G776" s="1" t="s">
        <v>231</v>
      </c>
      <c r="H776" s="1" t="s">
        <v>221</v>
      </c>
      <c r="I776" s="1">
        <v>3</v>
      </c>
      <c r="J776" s="1">
        <v>36266</v>
      </c>
      <c r="K776" s="1">
        <v>97918.2</v>
      </c>
      <c r="L776" s="1" t="s">
        <v>240</v>
      </c>
      <c r="M776" s="1">
        <v>10</v>
      </c>
      <c r="N776" s="1">
        <v>27270.3</v>
      </c>
    </row>
    <row r="777" spans="1:14" x14ac:dyDescent="0.25">
      <c r="A777" s="1">
        <v>1776</v>
      </c>
      <c r="B777" s="1" t="s">
        <v>463</v>
      </c>
      <c r="C777" s="1" t="s">
        <v>229</v>
      </c>
      <c r="D777" s="1" t="s">
        <v>232</v>
      </c>
      <c r="E777" s="1" t="s">
        <v>233</v>
      </c>
      <c r="F777" s="1" t="s">
        <v>225</v>
      </c>
      <c r="G777" s="1" t="s">
        <v>248</v>
      </c>
      <c r="H777" s="1" t="s">
        <v>217</v>
      </c>
      <c r="I777" s="1">
        <v>5</v>
      </c>
      <c r="J777" s="1">
        <v>25766</v>
      </c>
      <c r="K777" s="1">
        <v>115947</v>
      </c>
      <c r="L777" s="1" t="s">
        <v>227</v>
      </c>
      <c r="M777" s="1">
        <v>10</v>
      </c>
      <c r="N777" s="1">
        <v>20840.759999999998</v>
      </c>
    </row>
    <row r="778" spans="1:14" x14ac:dyDescent="0.25">
      <c r="A778" s="1">
        <v>1777</v>
      </c>
      <c r="B778" s="1" t="s">
        <v>463</v>
      </c>
      <c r="C778" s="1" t="s">
        <v>219</v>
      </c>
      <c r="D778" s="1" t="s">
        <v>214</v>
      </c>
      <c r="E778" s="1" t="s">
        <v>124</v>
      </c>
      <c r="F778" s="1" t="s">
        <v>225</v>
      </c>
      <c r="G778" s="1" t="s">
        <v>248</v>
      </c>
      <c r="H778" s="1" t="s">
        <v>217</v>
      </c>
      <c r="I778" s="1">
        <v>1</v>
      </c>
      <c r="J778" s="1">
        <v>45196</v>
      </c>
      <c r="K778" s="1">
        <v>42936.2</v>
      </c>
      <c r="L778" s="1" t="s">
        <v>240</v>
      </c>
      <c r="M778" s="1">
        <v>5</v>
      </c>
      <c r="N778" s="1">
        <v>5123.97</v>
      </c>
    </row>
    <row r="779" spans="1:14" x14ac:dyDescent="0.25">
      <c r="A779" s="1">
        <v>1778</v>
      </c>
      <c r="B779" s="1" t="s">
        <v>463</v>
      </c>
      <c r="C779" s="1" t="s">
        <v>223</v>
      </c>
      <c r="D779" s="1" t="s">
        <v>232</v>
      </c>
      <c r="E779" s="1" t="s">
        <v>233</v>
      </c>
      <c r="F779" s="1" t="s">
        <v>225</v>
      </c>
      <c r="G779" s="1" t="s">
        <v>226</v>
      </c>
      <c r="H779" s="1" t="s">
        <v>128</v>
      </c>
      <c r="I779" s="1">
        <v>1</v>
      </c>
      <c r="J779" s="1">
        <v>46361</v>
      </c>
      <c r="K779" s="1">
        <v>44042.95</v>
      </c>
      <c r="L779" s="1" t="s">
        <v>240</v>
      </c>
      <c r="M779" s="1">
        <v>5</v>
      </c>
      <c r="N779" s="1">
        <v>9220.43</v>
      </c>
    </row>
    <row r="780" spans="1:14" x14ac:dyDescent="0.25">
      <c r="A780" s="1">
        <v>1779</v>
      </c>
      <c r="B780" s="1" t="s">
        <v>464</v>
      </c>
      <c r="C780" s="1" t="s">
        <v>239</v>
      </c>
      <c r="D780" s="1" t="s">
        <v>245</v>
      </c>
      <c r="E780" s="1" t="s">
        <v>124</v>
      </c>
      <c r="F780" s="1" t="s">
        <v>225</v>
      </c>
      <c r="G780" s="1" t="s">
        <v>236</v>
      </c>
      <c r="H780" s="1" t="s">
        <v>217</v>
      </c>
      <c r="I780" s="1">
        <v>4</v>
      </c>
      <c r="J780" s="1">
        <v>21168</v>
      </c>
      <c r="K780" s="1">
        <v>71971.199999999997</v>
      </c>
      <c r="L780" s="1" t="s">
        <v>227</v>
      </c>
      <c r="M780" s="1">
        <v>15</v>
      </c>
      <c r="N780" s="1">
        <v>9583.75</v>
      </c>
    </row>
    <row r="781" spans="1:14" x14ac:dyDescent="0.25">
      <c r="A781" s="1">
        <v>1780</v>
      </c>
      <c r="B781" s="1" t="s">
        <v>464</v>
      </c>
      <c r="C781" s="1" t="s">
        <v>223</v>
      </c>
      <c r="D781" s="1" t="s">
        <v>224</v>
      </c>
      <c r="E781" s="1" t="s">
        <v>233</v>
      </c>
      <c r="F781" s="1" t="s">
        <v>215</v>
      </c>
      <c r="G781" s="1" t="s">
        <v>216</v>
      </c>
      <c r="H781" s="1" t="s">
        <v>221</v>
      </c>
      <c r="I781" s="1">
        <v>2</v>
      </c>
      <c r="J781" s="1">
        <v>18983</v>
      </c>
      <c r="K781" s="1">
        <v>32271.1</v>
      </c>
      <c r="L781" s="1" t="s">
        <v>218</v>
      </c>
      <c r="M781" s="1">
        <v>15</v>
      </c>
      <c r="N781" s="1">
        <v>6591.12</v>
      </c>
    </row>
    <row r="782" spans="1:14" x14ac:dyDescent="0.25">
      <c r="A782" s="1">
        <v>1781</v>
      </c>
      <c r="B782" s="1" t="s">
        <v>464</v>
      </c>
      <c r="C782" s="1" t="s">
        <v>239</v>
      </c>
      <c r="D782" s="1" t="s">
        <v>220</v>
      </c>
      <c r="E782" s="1" t="s">
        <v>85</v>
      </c>
      <c r="F782" s="1" t="s">
        <v>225</v>
      </c>
      <c r="G782" s="1" t="s">
        <v>236</v>
      </c>
      <c r="H782" s="1" t="s">
        <v>217</v>
      </c>
      <c r="I782" s="1">
        <v>5</v>
      </c>
      <c r="J782" s="1">
        <v>25924</v>
      </c>
      <c r="K782" s="1">
        <v>110177</v>
      </c>
      <c r="L782" s="1" t="s">
        <v>218</v>
      </c>
      <c r="M782" s="1">
        <v>15</v>
      </c>
      <c r="N782" s="1">
        <v>32518.080000000002</v>
      </c>
    </row>
    <row r="783" spans="1:14" x14ac:dyDescent="0.25">
      <c r="A783" s="1">
        <v>1782</v>
      </c>
      <c r="B783" s="1" t="s">
        <v>464</v>
      </c>
      <c r="C783" s="1" t="s">
        <v>213</v>
      </c>
      <c r="D783" s="1" t="s">
        <v>245</v>
      </c>
      <c r="E783" s="1" t="s">
        <v>124</v>
      </c>
      <c r="F783" s="1" t="s">
        <v>230</v>
      </c>
      <c r="G783" s="1" t="s">
        <v>242</v>
      </c>
      <c r="H783" s="1" t="s">
        <v>217</v>
      </c>
      <c r="I783" s="1">
        <v>4</v>
      </c>
      <c r="J783" s="1">
        <v>40713</v>
      </c>
      <c r="K783" s="1">
        <v>146566.79999999999</v>
      </c>
      <c r="L783" s="1" t="s">
        <v>218</v>
      </c>
      <c r="M783" s="1">
        <v>10</v>
      </c>
      <c r="N783" s="1">
        <v>30037.13</v>
      </c>
    </row>
    <row r="784" spans="1:14" x14ac:dyDescent="0.25">
      <c r="A784" s="1">
        <v>1783</v>
      </c>
      <c r="B784" s="1" t="s">
        <v>465</v>
      </c>
      <c r="C784" s="1" t="s">
        <v>229</v>
      </c>
      <c r="D784" s="1" t="s">
        <v>220</v>
      </c>
      <c r="E784" s="1" t="s">
        <v>85</v>
      </c>
      <c r="F784" s="1" t="s">
        <v>230</v>
      </c>
      <c r="G784" s="1" t="s">
        <v>231</v>
      </c>
      <c r="H784" s="1" t="s">
        <v>128</v>
      </c>
      <c r="I784" s="1">
        <v>2</v>
      </c>
      <c r="J784" s="1">
        <v>29504</v>
      </c>
      <c r="K784" s="1">
        <v>56057.599999999999</v>
      </c>
      <c r="L784" s="1" t="s">
        <v>240</v>
      </c>
      <c r="M784" s="1">
        <v>5</v>
      </c>
      <c r="N784" s="1">
        <v>12259.06</v>
      </c>
    </row>
    <row r="785" spans="1:14" x14ac:dyDescent="0.25">
      <c r="A785" s="1">
        <v>1784</v>
      </c>
      <c r="B785" s="1" t="s">
        <v>465</v>
      </c>
      <c r="C785" s="1" t="s">
        <v>229</v>
      </c>
      <c r="D785" s="1" t="s">
        <v>245</v>
      </c>
      <c r="E785" s="1" t="s">
        <v>124</v>
      </c>
      <c r="F785" s="1" t="s">
        <v>215</v>
      </c>
      <c r="G785" s="1" t="s">
        <v>216</v>
      </c>
      <c r="H785" s="1" t="s">
        <v>234</v>
      </c>
      <c r="I785" s="1">
        <v>4</v>
      </c>
      <c r="J785" s="1">
        <v>31173</v>
      </c>
      <c r="K785" s="1">
        <v>105988.2</v>
      </c>
      <c r="L785" s="1" t="s">
        <v>240</v>
      </c>
      <c r="M785" s="1">
        <v>15</v>
      </c>
      <c r="N785" s="1">
        <v>24586.53</v>
      </c>
    </row>
    <row r="786" spans="1:14" x14ac:dyDescent="0.25">
      <c r="A786" s="1">
        <v>1785</v>
      </c>
      <c r="B786" s="1" t="s">
        <v>466</v>
      </c>
      <c r="C786" s="1" t="s">
        <v>213</v>
      </c>
      <c r="D786" s="1" t="s">
        <v>224</v>
      </c>
      <c r="E786" s="1" t="s">
        <v>233</v>
      </c>
      <c r="F786" s="1" t="s">
        <v>230</v>
      </c>
      <c r="G786" s="1" t="s">
        <v>242</v>
      </c>
      <c r="H786" s="1" t="s">
        <v>221</v>
      </c>
      <c r="I786" s="1">
        <v>4</v>
      </c>
      <c r="J786" s="1">
        <v>35797</v>
      </c>
      <c r="K786" s="1">
        <v>136028.6</v>
      </c>
      <c r="L786" s="1" t="s">
        <v>227</v>
      </c>
      <c r="M786" s="1">
        <v>5</v>
      </c>
      <c r="N786" s="1">
        <v>18618.43</v>
      </c>
    </row>
    <row r="787" spans="1:14" x14ac:dyDescent="0.25">
      <c r="A787" s="1">
        <v>1786</v>
      </c>
      <c r="B787" s="1" t="s">
        <v>466</v>
      </c>
      <c r="C787" s="1" t="s">
        <v>239</v>
      </c>
      <c r="D787" s="1" t="s">
        <v>232</v>
      </c>
      <c r="E787" s="1" t="s">
        <v>233</v>
      </c>
      <c r="F787" s="1" t="s">
        <v>225</v>
      </c>
      <c r="G787" s="1" t="s">
        <v>236</v>
      </c>
      <c r="H787" s="1" t="s">
        <v>217</v>
      </c>
      <c r="I787" s="1">
        <v>4</v>
      </c>
      <c r="J787" s="1">
        <v>44867</v>
      </c>
      <c r="K787" s="1">
        <v>179468</v>
      </c>
      <c r="L787" s="1" t="s">
        <v>227</v>
      </c>
      <c r="M787" s="1">
        <v>0</v>
      </c>
      <c r="N787" s="1">
        <v>39735.699999999997</v>
      </c>
    </row>
    <row r="788" spans="1:14" x14ac:dyDescent="0.25">
      <c r="A788" s="1">
        <v>1787</v>
      </c>
      <c r="B788" s="1" t="s">
        <v>466</v>
      </c>
      <c r="C788" s="1" t="s">
        <v>213</v>
      </c>
      <c r="D788" s="1" t="s">
        <v>220</v>
      </c>
      <c r="E788" s="1" t="s">
        <v>85</v>
      </c>
      <c r="F788" s="1" t="s">
        <v>225</v>
      </c>
      <c r="G788" s="1" t="s">
        <v>236</v>
      </c>
      <c r="H788" s="1" t="s">
        <v>128</v>
      </c>
      <c r="I788" s="1">
        <v>4</v>
      </c>
      <c r="J788" s="1">
        <v>23406</v>
      </c>
      <c r="K788" s="1">
        <v>93624</v>
      </c>
      <c r="L788" s="1" t="s">
        <v>227</v>
      </c>
      <c r="M788" s="1">
        <v>0</v>
      </c>
      <c r="N788" s="1">
        <v>23475.49</v>
      </c>
    </row>
    <row r="789" spans="1:14" x14ac:dyDescent="0.25">
      <c r="A789" s="1">
        <v>1788</v>
      </c>
      <c r="B789" s="1" t="s">
        <v>466</v>
      </c>
      <c r="C789" s="1" t="s">
        <v>239</v>
      </c>
      <c r="D789" s="1" t="s">
        <v>220</v>
      </c>
      <c r="E789" s="1" t="s">
        <v>85</v>
      </c>
      <c r="F789" s="1" t="s">
        <v>225</v>
      </c>
      <c r="G789" s="1" t="s">
        <v>236</v>
      </c>
      <c r="H789" s="1" t="s">
        <v>128</v>
      </c>
      <c r="I789" s="1">
        <v>1</v>
      </c>
      <c r="J789" s="1">
        <v>27502</v>
      </c>
      <c r="K789" s="1">
        <v>27502</v>
      </c>
      <c r="L789" s="1" t="s">
        <v>218</v>
      </c>
      <c r="M789" s="1">
        <v>0</v>
      </c>
      <c r="N789" s="1">
        <v>4242.88</v>
      </c>
    </row>
    <row r="790" spans="1:14" x14ac:dyDescent="0.25">
      <c r="A790" s="1">
        <v>1789</v>
      </c>
      <c r="B790" s="1" t="s">
        <v>467</v>
      </c>
      <c r="C790" s="1" t="s">
        <v>239</v>
      </c>
      <c r="D790" s="1" t="s">
        <v>224</v>
      </c>
      <c r="E790" s="1" t="s">
        <v>233</v>
      </c>
      <c r="F790" s="1" t="s">
        <v>230</v>
      </c>
      <c r="G790" s="1" t="s">
        <v>231</v>
      </c>
      <c r="H790" s="1" t="s">
        <v>217</v>
      </c>
      <c r="I790" s="1">
        <v>4</v>
      </c>
      <c r="J790" s="1">
        <v>14554</v>
      </c>
      <c r="K790" s="1">
        <v>55305.2</v>
      </c>
      <c r="L790" s="1" t="s">
        <v>222</v>
      </c>
      <c r="M790" s="1">
        <v>5</v>
      </c>
      <c r="N790" s="1">
        <v>12465.61</v>
      </c>
    </row>
    <row r="791" spans="1:14" x14ac:dyDescent="0.25">
      <c r="A791" s="1">
        <v>1790</v>
      </c>
      <c r="B791" s="1" t="s">
        <v>467</v>
      </c>
      <c r="C791" s="1" t="s">
        <v>239</v>
      </c>
      <c r="D791" s="1" t="s">
        <v>245</v>
      </c>
      <c r="E791" s="1" t="s">
        <v>124</v>
      </c>
      <c r="F791" s="1" t="s">
        <v>215</v>
      </c>
      <c r="G791" s="1" t="s">
        <v>244</v>
      </c>
      <c r="H791" s="1" t="s">
        <v>234</v>
      </c>
      <c r="I791" s="1">
        <v>3</v>
      </c>
      <c r="J791" s="1">
        <v>36572</v>
      </c>
      <c r="K791" s="1">
        <v>109716</v>
      </c>
      <c r="L791" s="1" t="s">
        <v>240</v>
      </c>
      <c r="M791" s="1">
        <v>0</v>
      </c>
      <c r="N791" s="1">
        <v>15144.14</v>
      </c>
    </row>
    <row r="792" spans="1:14" x14ac:dyDescent="0.25">
      <c r="A792" s="1">
        <v>1791</v>
      </c>
      <c r="B792" s="1" t="s">
        <v>467</v>
      </c>
      <c r="C792" s="1" t="s">
        <v>223</v>
      </c>
      <c r="D792" s="1" t="s">
        <v>232</v>
      </c>
      <c r="E792" s="1" t="s">
        <v>233</v>
      </c>
      <c r="F792" s="1" t="s">
        <v>215</v>
      </c>
      <c r="G792" s="1" t="s">
        <v>244</v>
      </c>
      <c r="H792" s="1" t="s">
        <v>217</v>
      </c>
      <c r="I792" s="1">
        <v>4</v>
      </c>
      <c r="J792" s="1">
        <v>32155</v>
      </c>
      <c r="K792" s="1">
        <v>122189</v>
      </c>
      <c r="L792" s="1" t="s">
        <v>222</v>
      </c>
      <c r="M792" s="1">
        <v>5</v>
      </c>
      <c r="N792" s="1">
        <v>16590.62</v>
      </c>
    </row>
    <row r="793" spans="1:14" x14ac:dyDescent="0.25">
      <c r="A793" s="1">
        <v>1792</v>
      </c>
      <c r="B793" s="1" t="s">
        <v>468</v>
      </c>
      <c r="C793" s="1" t="s">
        <v>239</v>
      </c>
      <c r="D793" s="1" t="s">
        <v>245</v>
      </c>
      <c r="E793" s="1" t="s">
        <v>124</v>
      </c>
      <c r="F793" s="1" t="s">
        <v>215</v>
      </c>
      <c r="G793" s="1" t="s">
        <v>216</v>
      </c>
      <c r="H793" s="1" t="s">
        <v>128</v>
      </c>
      <c r="I793" s="1">
        <v>5</v>
      </c>
      <c r="J793" s="1">
        <v>18522</v>
      </c>
      <c r="K793" s="1">
        <v>87979.5</v>
      </c>
      <c r="L793" s="1" t="s">
        <v>222</v>
      </c>
      <c r="M793" s="1">
        <v>5</v>
      </c>
      <c r="N793" s="1">
        <v>24468.14</v>
      </c>
    </row>
    <row r="794" spans="1:14" x14ac:dyDescent="0.25">
      <c r="A794" s="1">
        <v>1793</v>
      </c>
      <c r="B794" s="1" t="s">
        <v>468</v>
      </c>
      <c r="C794" s="1" t="s">
        <v>219</v>
      </c>
      <c r="D794" s="1" t="s">
        <v>232</v>
      </c>
      <c r="E794" s="1" t="s">
        <v>233</v>
      </c>
      <c r="F794" s="1" t="s">
        <v>215</v>
      </c>
      <c r="G794" s="1" t="s">
        <v>216</v>
      </c>
      <c r="H794" s="1" t="s">
        <v>234</v>
      </c>
      <c r="I794" s="1">
        <v>5</v>
      </c>
      <c r="J794" s="1">
        <v>41085</v>
      </c>
      <c r="K794" s="1">
        <v>205425</v>
      </c>
      <c r="L794" s="1" t="s">
        <v>222</v>
      </c>
      <c r="M794" s="1">
        <v>0</v>
      </c>
      <c r="N794" s="1">
        <v>33194.29</v>
      </c>
    </row>
    <row r="795" spans="1:14" x14ac:dyDescent="0.25">
      <c r="A795" s="1">
        <v>1794</v>
      </c>
      <c r="B795" s="1" t="s">
        <v>468</v>
      </c>
      <c r="C795" s="1" t="s">
        <v>219</v>
      </c>
      <c r="D795" s="1" t="s">
        <v>214</v>
      </c>
      <c r="E795" s="1" t="s">
        <v>124</v>
      </c>
      <c r="F795" s="1" t="s">
        <v>225</v>
      </c>
      <c r="G795" s="1" t="s">
        <v>226</v>
      </c>
      <c r="H795" s="1" t="s">
        <v>221</v>
      </c>
      <c r="I795" s="1">
        <v>1</v>
      </c>
      <c r="J795" s="1">
        <v>45259</v>
      </c>
      <c r="K795" s="1">
        <v>38470.15</v>
      </c>
      <c r="L795" s="1" t="s">
        <v>222</v>
      </c>
      <c r="M795" s="1">
        <v>15</v>
      </c>
      <c r="N795" s="1">
        <v>10761.91</v>
      </c>
    </row>
    <row r="796" spans="1:14" x14ac:dyDescent="0.25">
      <c r="A796" s="1">
        <v>1795</v>
      </c>
      <c r="B796" s="1" t="s">
        <v>468</v>
      </c>
      <c r="C796" s="1" t="s">
        <v>229</v>
      </c>
      <c r="D796" s="1" t="s">
        <v>245</v>
      </c>
      <c r="E796" s="1" t="s">
        <v>124</v>
      </c>
      <c r="F796" s="1" t="s">
        <v>230</v>
      </c>
      <c r="G796" s="1" t="s">
        <v>241</v>
      </c>
      <c r="H796" s="1" t="s">
        <v>217</v>
      </c>
      <c r="I796" s="1">
        <v>4</v>
      </c>
      <c r="J796" s="1">
        <v>45376</v>
      </c>
      <c r="K796" s="1">
        <v>181504</v>
      </c>
      <c r="L796" s="1" t="s">
        <v>240</v>
      </c>
      <c r="M796" s="1">
        <v>0</v>
      </c>
      <c r="N796" s="1">
        <v>53017.14</v>
      </c>
    </row>
    <row r="797" spans="1:14" x14ac:dyDescent="0.25">
      <c r="A797" s="1">
        <v>1796</v>
      </c>
      <c r="B797" s="1" t="s">
        <v>469</v>
      </c>
      <c r="C797" s="1" t="s">
        <v>213</v>
      </c>
      <c r="D797" s="1" t="s">
        <v>245</v>
      </c>
      <c r="E797" s="1" t="s">
        <v>124</v>
      </c>
      <c r="F797" s="1" t="s">
        <v>225</v>
      </c>
      <c r="G797" s="1" t="s">
        <v>248</v>
      </c>
      <c r="H797" s="1" t="s">
        <v>128</v>
      </c>
      <c r="I797" s="1">
        <v>4</v>
      </c>
      <c r="J797" s="1">
        <v>26794</v>
      </c>
      <c r="K797" s="1">
        <v>101817.2</v>
      </c>
      <c r="L797" s="1" t="s">
        <v>218</v>
      </c>
      <c r="M797" s="1">
        <v>5</v>
      </c>
      <c r="N797" s="1">
        <v>22965.63</v>
      </c>
    </row>
    <row r="798" spans="1:14" x14ac:dyDescent="0.25">
      <c r="A798" s="1">
        <v>1797</v>
      </c>
      <c r="B798" s="1" t="s">
        <v>469</v>
      </c>
      <c r="C798" s="1" t="s">
        <v>219</v>
      </c>
      <c r="D798" s="1" t="s">
        <v>224</v>
      </c>
      <c r="E798" s="1" t="s">
        <v>233</v>
      </c>
      <c r="F798" s="1" t="s">
        <v>215</v>
      </c>
      <c r="G798" s="1" t="s">
        <v>244</v>
      </c>
      <c r="H798" s="1" t="s">
        <v>221</v>
      </c>
      <c r="I798" s="1">
        <v>5</v>
      </c>
      <c r="J798" s="1">
        <v>20079</v>
      </c>
      <c r="K798" s="1">
        <v>85335.75</v>
      </c>
      <c r="L798" s="1" t="s">
        <v>218</v>
      </c>
      <c r="M798" s="1">
        <v>15</v>
      </c>
      <c r="N798" s="1">
        <v>18528.29</v>
      </c>
    </row>
    <row r="799" spans="1:14" x14ac:dyDescent="0.25">
      <c r="A799" s="1">
        <v>1798</v>
      </c>
      <c r="B799" s="1" t="s">
        <v>469</v>
      </c>
      <c r="C799" s="1" t="s">
        <v>229</v>
      </c>
      <c r="D799" s="1" t="s">
        <v>214</v>
      </c>
      <c r="E799" s="1" t="s">
        <v>124</v>
      </c>
      <c r="F799" s="1" t="s">
        <v>215</v>
      </c>
      <c r="G799" s="1" t="s">
        <v>244</v>
      </c>
      <c r="H799" s="1" t="s">
        <v>221</v>
      </c>
      <c r="I799" s="1">
        <v>5</v>
      </c>
      <c r="J799" s="1">
        <v>21690</v>
      </c>
      <c r="K799" s="1">
        <v>92182.5</v>
      </c>
      <c r="L799" s="1" t="s">
        <v>240</v>
      </c>
      <c r="M799" s="1">
        <v>15</v>
      </c>
      <c r="N799" s="1">
        <v>14453.74</v>
      </c>
    </row>
    <row r="800" spans="1:14" x14ac:dyDescent="0.25">
      <c r="A800" s="1">
        <v>1799</v>
      </c>
      <c r="B800" s="1" t="s">
        <v>469</v>
      </c>
      <c r="C800" s="1" t="s">
        <v>213</v>
      </c>
      <c r="D800" s="1" t="s">
        <v>232</v>
      </c>
      <c r="E800" s="1" t="s">
        <v>233</v>
      </c>
      <c r="F800" s="1" t="s">
        <v>225</v>
      </c>
      <c r="G800" s="1" t="s">
        <v>226</v>
      </c>
      <c r="H800" s="1" t="s">
        <v>217</v>
      </c>
      <c r="I800" s="1">
        <v>2</v>
      </c>
      <c r="J800" s="1">
        <v>33612</v>
      </c>
      <c r="K800" s="1">
        <v>57140.4</v>
      </c>
      <c r="L800" s="1" t="s">
        <v>218</v>
      </c>
      <c r="M800" s="1">
        <v>15</v>
      </c>
      <c r="N800" s="1">
        <v>13806.16</v>
      </c>
    </row>
    <row r="801" spans="1:14" x14ac:dyDescent="0.25">
      <c r="A801" s="1">
        <v>1800</v>
      </c>
      <c r="B801" s="1" t="s">
        <v>470</v>
      </c>
      <c r="C801" s="1" t="s">
        <v>219</v>
      </c>
      <c r="D801" s="1" t="s">
        <v>214</v>
      </c>
      <c r="E801" s="1" t="s">
        <v>124</v>
      </c>
      <c r="F801" s="1" t="s">
        <v>230</v>
      </c>
      <c r="G801" s="1" t="s">
        <v>242</v>
      </c>
      <c r="H801" s="1" t="s">
        <v>221</v>
      </c>
      <c r="I801" s="1">
        <v>4</v>
      </c>
      <c r="J801" s="1">
        <v>21963</v>
      </c>
      <c r="K801" s="1">
        <v>87852</v>
      </c>
      <c r="L801" s="1" t="s">
        <v>222</v>
      </c>
      <c r="M801" s="1">
        <v>0</v>
      </c>
      <c r="N801" s="1">
        <v>14273.25</v>
      </c>
    </row>
    <row r="802" spans="1:14" x14ac:dyDescent="0.25">
      <c r="A802" s="1">
        <v>1801</v>
      </c>
      <c r="B802" s="1" t="s">
        <v>470</v>
      </c>
      <c r="C802" s="1" t="s">
        <v>229</v>
      </c>
      <c r="D802" s="1" t="s">
        <v>245</v>
      </c>
      <c r="E802" s="1" t="s">
        <v>124</v>
      </c>
      <c r="F802" s="1" t="s">
        <v>225</v>
      </c>
      <c r="G802" s="1" t="s">
        <v>236</v>
      </c>
      <c r="H802" s="1" t="s">
        <v>234</v>
      </c>
      <c r="I802" s="1">
        <v>2</v>
      </c>
      <c r="J802" s="1">
        <v>48406</v>
      </c>
      <c r="K802" s="1">
        <v>96812</v>
      </c>
      <c r="L802" s="1" t="s">
        <v>218</v>
      </c>
      <c r="M802" s="1">
        <v>0</v>
      </c>
      <c r="N802" s="1">
        <v>15354.44</v>
      </c>
    </row>
    <row r="803" spans="1:14" x14ac:dyDescent="0.25">
      <c r="A803" s="1">
        <v>1802</v>
      </c>
      <c r="B803" s="1" t="s">
        <v>470</v>
      </c>
      <c r="C803" s="1" t="s">
        <v>229</v>
      </c>
      <c r="D803" s="1" t="s">
        <v>224</v>
      </c>
      <c r="E803" s="1" t="s">
        <v>233</v>
      </c>
      <c r="F803" s="1" t="s">
        <v>215</v>
      </c>
      <c r="G803" s="1" t="s">
        <v>216</v>
      </c>
      <c r="H803" s="1" t="s">
        <v>217</v>
      </c>
      <c r="I803" s="1">
        <v>2</v>
      </c>
      <c r="J803" s="1">
        <v>39325</v>
      </c>
      <c r="K803" s="1">
        <v>70785</v>
      </c>
      <c r="L803" s="1" t="s">
        <v>222</v>
      </c>
      <c r="M803" s="1">
        <v>10</v>
      </c>
      <c r="N803" s="1">
        <v>12824.92</v>
      </c>
    </row>
    <row r="804" spans="1:14" x14ac:dyDescent="0.25">
      <c r="A804" s="1">
        <v>1803</v>
      </c>
      <c r="B804" s="1" t="s">
        <v>470</v>
      </c>
      <c r="C804" s="1" t="s">
        <v>219</v>
      </c>
      <c r="D804" s="1" t="s">
        <v>245</v>
      </c>
      <c r="E804" s="1" t="s">
        <v>124</v>
      </c>
      <c r="F804" s="1" t="s">
        <v>215</v>
      </c>
      <c r="G804" s="1" t="s">
        <v>216</v>
      </c>
      <c r="H804" s="1" t="s">
        <v>221</v>
      </c>
      <c r="I804" s="1">
        <v>4</v>
      </c>
      <c r="J804" s="1">
        <v>47649</v>
      </c>
      <c r="K804" s="1">
        <v>181066.2</v>
      </c>
      <c r="L804" s="1" t="s">
        <v>240</v>
      </c>
      <c r="M804" s="1">
        <v>5</v>
      </c>
      <c r="N804" s="1">
        <v>31307.48</v>
      </c>
    </row>
    <row r="805" spans="1:14" x14ac:dyDescent="0.25">
      <c r="A805" s="1">
        <v>1804</v>
      </c>
      <c r="B805" s="1" t="s">
        <v>471</v>
      </c>
      <c r="C805" s="1" t="s">
        <v>223</v>
      </c>
      <c r="D805" s="1" t="s">
        <v>214</v>
      </c>
      <c r="E805" s="1" t="s">
        <v>124</v>
      </c>
      <c r="F805" s="1" t="s">
        <v>230</v>
      </c>
      <c r="G805" s="1" t="s">
        <v>241</v>
      </c>
      <c r="H805" s="1" t="s">
        <v>221</v>
      </c>
      <c r="I805" s="1">
        <v>3</v>
      </c>
      <c r="J805" s="1">
        <v>20084</v>
      </c>
      <c r="K805" s="1">
        <v>60252</v>
      </c>
      <c r="L805" s="1" t="s">
        <v>218</v>
      </c>
      <c r="M805" s="1">
        <v>0</v>
      </c>
      <c r="N805" s="1">
        <v>6212.6</v>
      </c>
    </row>
    <row r="806" spans="1:14" x14ac:dyDescent="0.25">
      <c r="A806" s="1">
        <v>1805</v>
      </c>
      <c r="B806" s="1" t="s">
        <v>471</v>
      </c>
      <c r="C806" s="1" t="s">
        <v>219</v>
      </c>
      <c r="D806" s="1" t="s">
        <v>214</v>
      </c>
      <c r="E806" s="1" t="s">
        <v>124</v>
      </c>
      <c r="F806" s="1" t="s">
        <v>215</v>
      </c>
      <c r="G806" s="1" t="s">
        <v>246</v>
      </c>
      <c r="H806" s="1" t="s">
        <v>217</v>
      </c>
      <c r="I806" s="1">
        <v>4</v>
      </c>
      <c r="J806" s="1">
        <v>15837</v>
      </c>
      <c r="K806" s="1">
        <v>60180.6</v>
      </c>
      <c r="L806" s="1" t="s">
        <v>218</v>
      </c>
      <c r="M806" s="1">
        <v>5</v>
      </c>
      <c r="N806" s="1">
        <v>8363.89</v>
      </c>
    </row>
    <row r="807" spans="1:14" x14ac:dyDescent="0.25">
      <c r="A807" s="1">
        <v>1806</v>
      </c>
      <c r="B807" s="1" t="s">
        <v>471</v>
      </c>
      <c r="C807" s="1" t="s">
        <v>239</v>
      </c>
      <c r="D807" s="1" t="s">
        <v>220</v>
      </c>
      <c r="E807" s="1" t="s">
        <v>85</v>
      </c>
      <c r="F807" s="1" t="s">
        <v>215</v>
      </c>
      <c r="G807" s="1" t="s">
        <v>216</v>
      </c>
      <c r="H807" s="1" t="s">
        <v>234</v>
      </c>
      <c r="I807" s="1">
        <v>5</v>
      </c>
      <c r="J807" s="1">
        <v>6192</v>
      </c>
      <c r="K807" s="1">
        <v>26316</v>
      </c>
      <c r="L807" s="1" t="s">
        <v>240</v>
      </c>
      <c r="M807" s="1">
        <v>15</v>
      </c>
      <c r="N807" s="1">
        <v>7112.79</v>
      </c>
    </row>
    <row r="808" spans="1:14" x14ac:dyDescent="0.25">
      <c r="A808" s="1">
        <v>1807</v>
      </c>
      <c r="B808" s="1" t="s">
        <v>471</v>
      </c>
      <c r="C808" s="1" t="s">
        <v>223</v>
      </c>
      <c r="D808" s="1" t="s">
        <v>220</v>
      </c>
      <c r="E808" s="1" t="s">
        <v>85</v>
      </c>
      <c r="F808" s="1" t="s">
        <v>230</v>
      </c>
      <c r="G808" s="1" t="s">
        <v>242</v>
      </c>
      <c r="H808" s="1" t="s">
        <v>221</v>
      </c>
      <c r="I808" s="1">
        <v>4</v>
      </c>
      <c r="J808" s="1">
        <v>17329</v>
      </c>
      <c r="K808" s="1">
        <v>65850.2</v>
      </c>
      <c r="L808" s="1" t="s">
        <v>218</v>
      </c>
      <c r="M808" s="1">
        <v>5</v>
      </c>
      <c r="N808" s="1">
        <v>11583.43</v>
      </c>
    </row>
    <row r="809" spans="1:14" x14ac:dyDescent="0.25">
      <c r="A809" s="1">
        <v>1808</v>
      </c>
      <c r="B809" s="1" t="s">
        <v>471</v>
      </c>
      <c r="C809" s="1" t="s">
        <v>213</v>
      </c>
      <c r="D809" s="1" t="s">
        <v>232</v>
      </c>
      <c r="E809" s="1" t="s">
        <v>233</v>
      </c>
      <c r="F809" s="1" t="s">
        <v>230</v>
      </c>
      <c r="G809" s="1" t="s">
        <v>242</v>
      </c>
      <c r="H809" s="1" t="s">
        <v>234</v>
      </c>
      <c r="I809" s="1">
        <v>5</v>
      </c>
      <c r="J809" s="1">
        <v>31770</v>
      </c>
      <c r="K809" s="1">
        <v>158850</v>
      </c>
      <c r="L809" s="1" t="s">
        <v>227</v>
      </c>
      <c r="M809" s="1">
        <v>0</v>
      </c>
      <c r="N809" s="1">
        <v>32094.400000000001</v>
      </c>
    </row>
    <row r="810" spans="1:14" x14ac:dyDescent="0.25">
      <c r="A810" s="1">
        <v>1809</v>
      </c>
      <c r="B810" s="1" t="s">
        <v>472</v>
      </c>
      <c r="C810" s="1" t="s">
        <v>223</v>
      </c>
      <c r="D810" s="1" t="s">
        <v>245</v>
      </c>
      <c r="E810" s="1" t="s">
        <v>124</v>
      </c>
      <c r="F810" s="1" t="s">
        <v>215</v>
      </c>
      <c r="G810" s="1" t="s">
        <v>246</v>
      </c>
      <c r="H810" s="1" t="s">
        <v>128</v>
      </c>
      <c r="I810" s="1">
        <v>4</v>
      </c>
      <c r="J810" s="1">
        <v>11381</v>
      </c>
      <c r="K810" s="1">
        <v>45524</v>
      </c>
      <c r="L810" s="1" t="s">
        <v>227</v>
      </c>
      <c r="M810" s="1">
        <v>0</v>
      </c>
      <c r="N810" s="1">
        <v>11576.82</v>
      </c>
    </row>
    <row r="811" spans="1:14" x14ac:dyDescent="0.25">
      <c r="A811" s="1">
        <v>1810</v>
      </c>
      <c r="B811" s="1" t="s">
        <v>472</v>
      </c>
      <c r="C811" s="1" t="s">
        <v>229</v>
      </c>
      <c r="D811" s="1" t="s">
        <v>220</v>
      </c>
      <c r="E811" s="1" t="s">
        <v>85</v>
      </c>
      <c r="F811" s="1" t="s">
        <v>230</v>
      </c>
      <c r="G811" s="1" t="s">
        <v>231</v>
      </c>
      <c r="H811" s="1" t="s">
        <v>217</v>
      </c>
      <c r="I811" s="1">
        <v>4</v>
      </c>
      <c r="J811" s="1">
        <v>6085</v>
      </c>
      <c r="K811" s="1">
        <v>20689</v>
      </c>
      <c r="L811" s="1" t="s">
        <v>227</v>
      </c>
      <c r="M811" s="1">
        <v>15</v>
      </c>
      <c r="N811" s="1">
        <v>4528.9399999999996</v>
      </c>
    </row>
    <row r="812" spans="1:14" x14ac:dyDescent="0.25">
      <c r="A812" s="1">
        <v>1811</v>
      </c>
      <c r="B812" s="1" t="s">
        <v>472</v>
      </c>
      <c r="C812" s="1" t="s">
        <v>223</v>
      </c>
      <c r="D812" s="1" t="s">
        <v>224</v>
      </c>
      <c r="E812" s="1" t="s">
        <v>233</v>
      </c>
      <c r="F812" s="1" t="s">
        <v>230</v>
      </c>
      <c r="G812" s="1" t="s">
        <v>242</v>
      </c>
      <c r="H812" s="1" t="s">
        <v>234</v>
      </c>
      <c r="I812" s="1">
        <v>1</v>
      </c>
      <c r="J812" s="1">
        <v>46201</v>
      </c>
      <c r="K812" s="1">
        <v>41580.9</v>
      </c>
      <c r="L812" s="1" t="s">
        <v>218</v>
      </c>
      <c r="M812" s="1">
        <v>10</v>
      </c>
      <c r="N812" s="1">
        <v>11336.25</v>
      </c>
    </row>
    <row r="813" spans="1:14" x14ac:dyDescent="0.25">
      <c r="A813" s="1">
        <v>1812</v>
      </c>
      <c r="B813" s="1" t="s">
        <v>472</v>
      </c>
      <c r="C813" s="1" t="s">
        <v>229</v>
      </c>
      <c r="D813" s="1" t="s">
        <v>220</v>
      </c>
      <c r="E813" s="1" t="s">
        <v>85</v>
      </c>
      <c r="F813" s="1" t="s">
        <v>215</v>
      </c>
      <c r="G813" s="1" t="s">
        <v>244</v>
      </c>
      <c r="H813" s="1" t="s">
        <v>128</v>
      </c>
      <c r="I813" s="1">
        <v>2</v>
      </c>
      <c r="J813" s="1">
        <v>43918</v>
      </c>
      <c r="K813" s="1">
        <v>79052.399999999994</v>
      </c>
      <c r="L813" s="1" t="s">
        <v>222</v>
      </c>
      <c r="M813" s="1">
        <v>10</v>
      </c>
      <c r="N813" s="1">
        <v>14684.06</v>
      </c>
    </row>
    <row r="814" spans="1:14" x14ac:dyDescent="0.25">
      <c r="A814" s="1">
        <v>1813</v>
      </c>
      <c r="B814" s="1" t="s">
        <v>472</v>
      </c>
      <c r="C814" s="1" t="s">
        <v>229</v>
      </c>
      <c r="D814" s="1" t="s">
        <v>245</v>
      </c>
      <c r="E814" s="1" t="s">
        <v>124</v>
      </c>
      <c r="F814" s="1" t="s">
        <v>230</v>
      </c>
      <c r="G814" s="1" t="s">
        <v>242</v>
      </c>
      <c r="H814" s="1" t="s">
        <v>234</v>
      </c>
      <c r="I814" s="1">
        <v>4</v>
      </c>
      <c r="J814" s="1">
        <v>45832</v>
      </c>
      <c r="K814" s="1">
        <v>183328</v>
      </c>
      <c r="L814" s="1" t="s">
        <v>240</v>
      </c>
      <c r="M814" s="1">
        <v>0</v>
      </c>
      <c r="N814" s="1">
        <v>42764.07</v>
      </c>
    </row>
    <row r="815" spans="1:14" x14ac:dyDescent="0.25">
      <c r="A815" s="1">
        <v>1814</v>
      </c>
      <c r="B815" s="1" t="s">
        <v>473</v>
      </c>
      <c r="C815" s="1" t="s">
        <v>213</v>
      </c>
      <c r="D815" s="1" t="s">
        <v>224</v>
      </c>
      <c r="E815" s="1" t="s">
        <v>233</v>
      </c>
      <c r="F815" s="1" t="s">
        <v>225</v>
      </c>
      <c r="G815" s="1" t="s">
        <v>236</v>
      </c>
      <c r="H815" s="1" t="s">
        <v>217</v>
      </c>
      <c r="I815" s="1">
        <v>3</v>
      </c>
      <c r="J815" s="1">
        <v>39953</v>
      </c>
      <c r="K815" s="1">
        <v>101880.15</v>
      </c>
      <c r="L815" s="1" t="s">
        <v>218</v>
      </c>
      <c r="M815" s="1">
        <v>15</v>
      </c>
      <c r="N815" s="1">
        <v>25967.68</v>
      </c>
    </row>
    <row r="816" spans="1:14" x14ac:dyDescent="0.25">
      <c r="A816" s="1">
        <v>1815</v>
      </c>
      <c r="B816" s="1" t="s">
        <v>473</v>
      </c>
      <c r="C816" s="1" t="s">
        <v>229</v>
      </c>
      <c r="D816" s="1" t="s">
        <v>214</v>
      </c>
      <c r="E816" s="1" t="s">
        <v>124</v>
      </c>
      <c r="F816" s="1" t="s">
        <v>230</v>
      </c>
      <c r="G816" s="1" t="s">
        <v>231</v>
      </c>
      <c r="H816" s="1" t="s">
        <v>221</v>
      </c>
      <c r="I816" s="1">
        <v>2</v>
      </c>
      <c r="J816" s="1">
        <v>26696</v>
      </c>
      <c r="K816" s="1">
        <v>45383.199999999997</v>
      </c>
      <c r="L816" s="1" t="s">
        <v>227</v>
      </c>
      <c r="M816" s="1">
        <v>15</v>
      </c>
      <c r="N816" s="1">
        <v>6509.45</v>
      </c>
    </row>
    <row r="817" spans="1:14" x14ac:dyDescent="0.25">
      <c r="A817" s="1">
        <v>1816</v>
      </c>
      <c r="B817" s="1" t="s">
        <v>474</v>
      </c>
      <c r="C817" s="1" t="s">
        <v>239</v>
      </c>
      <c r="D817" s="1" t="s">
        <v>245</v>
      </c>
      <c r="E817" s="1" t="s">
        <v>124</v>
      </c>
      <c r="F817" s="1" t="s">
        <v>225</v>
      </c>
      <c r="G817" s="1" t="s">
        <v>248</v>
      </c>
      <c r="H817" s="1" t="s">
        <v>217</v>
      </c>
      <c r="I817" s="1">
        <v>4</v>
      </c>
      <c r="J817" s="1">
        <v>26406</v>
      </c>
      <c r="K817" s="1">
        <v>89780.4</v>
      </c>
      <c r="L817" s="1" t="s">
        <v>240</v>
      </c>
      <c r="M817" s="1">
        <v>15</v>
      </c>
      <c r="N817" s="1">
        <v>18658.419999999998</v>
      </c>
    </row>
    <row r="818" spans="1:14" x14ac:dyDescent="0.25">
      <c r="A818" s="1">
        <v>1817</v>
      </c>
      <c r="B818" s="1" t="s">
        <v>474</v>
      </c>
      <c r="C818" s="1" t="s">
        <v>229</v>
      </c>
      <c r="D818" s="1" t="s">
        <v>224</v>
      </c>
      <c r="E818" s="1" t="s">
        <v>233</v>
      </c>
      <c r="F818" s="1" t="s">
        <v>215</v>
      </c>
      <c r="G818" s="1" t="s">
        <v>216</v>
      </c>
      <c r="H818" s="1" t="s">
        <v>128</v>
      </c>
      <c r="I818" s="1">
        <v>2</v>
      </c>
      <c r="J818" s="1">
        <v>42655</v>
      </c>
      <c r="K818" s="1">
        <v>76779</v>
      </c>
      <c r="L818" s="1" t="s">
        <v>222</v>
      </c>
      <c r="M818" s="1">
        <v>10</v>
      </c>
      <c r="N818" s="1">
        <v>13473.4</v>
      </c>
    </row>
    <row r="819" spans="1:14" x14ac:dyDescent="0.25">
      <c r="A819" s="1">
        <v>1818</v>
      </c>
      <c r="B819" s="1" t="s">
        <v>474</v>
      </c>
      <c r="C819" s="1" t="s">
        <v>213</v>
      </c>
      <c r="D819" s="1" t="s">
        <v>232</v>
      </c>
      <c r="E819" s="1" t="s">
        <v>233</v>
      </c>
      <c r="F819" s="1" t="s">
        <v>225</v>
      </c>
      <c r="G819" s="1" t="s">
        <v>248</v>
      </c>
      <c r="H819" s="1" t="s">
        <v>128</v>
      </c>
      <c r="I819" s="1">
        <v>4</v>
      </c>
      <c r="J819" s="1">
        <v>8752</v>
      </c>
      <c r="K819" s="1">
        <v>33257.599999999999</v>
      </c>
      <c r="L819" s="1" t="s">
        <v>218</v>
      </c>
      <c r="M819" s="1">
        <v>5</v>
      </c>
      <c r="N819" s="1">
        <v>4343.1899999999996</v>
      </c>
    </row>
    <row r="820" spans="1:14" x14ac:dyDescent="0.25">
      <c r="A820" s="1">
        <v>1819</v>
      </c>
      <c r="B820" s="1" t="s">
        <v>474</v>
      </c>
      <c r="C820" s="1" t="s">
        <v>213</v>
      </c>
      <c r="D820" s="1" t="s">
        <v>245</v>
      </c>
      <c r="E820" s="1" t="s">
        <v>124</v>
      </c>
      <c r="F820" s="1" t="s">
        <v>225</v>
      </c>
      <c r="G820" s="1" t="s">
        <v>236</v>
      </c>
      <c r="H820" s="1" t="s">
        <v>128</v>
      </c>
      <c r="I820" s="1">
        <v>5</v>
      </c>
      <c r="J820" s="1">
        <v>41801</v>
      </c>
      <c r="K820" s="1">
        <v>209005</v>
      </c>
      <c r="L820" s="1" t="s">
        <v>240</v>
      </c>
      <c r="M820" s="1">
        <v>0</v>
      </c>
      <c r="N820" s="1">
        <v>34777.94</v>
      </c>
    </row>
    <row r="821" spans="1:14" x14ac:dyDescent="0.25">
      <c r="A821" s="1">
        <v>1820</v>
      </c>
      <c r="B821" s="1" t="s">
        <v>475</v>
      </c>
      <c r="C821" s="1" t="s">
        <v>219</v>
      </c>
      <c r="D821" s="1" t="s">
        <v>232</v>
      </c>
      <c r="E821" s="1" t="s">
        <v>233</v>
      </c>
      <c r="F821" s="1" t="s">
        <v>230</v>
      </c>
      <c r="G821" s="1" t="s">
        <v>242</v>
      </c>
      <c r="H821" s="1" t="s">
        <v>221</v>
      </c>
      <c r="I821" s="1">
        <v>3</v>
      </c>
      <c r="J821" s="1">
        <v>35503</v>
      </c>
      <c r="K821" s="1">
        <v>106509</v>
      </c>
      <c r="L821" s="1" t="s">
        <v>222</v>
      </c>
      <c r="M821" s="1">
        <v>0</v>
      </c>
      <c r="N821" s="1">
        <v>15638.01</v>
      </c>
    </row>
    <row r="822" spans="1:14" x14ac:dyDescent="0.25">
      <c r="A822" s="1">
        <v>1821</v>
      </c>
      <c r="B822" s="1" t="s">
        <v>475</v>
      </c>
      <c r="C822" s="1" t="s">
        <v>229</v>
      </c>
      <c r="D822" s="1" t="s">
        <v>224</v>
      </c>
      <c r="E822" s="1" t="s">
        <v>233</v>
      </c>
      <c r="F822" s="1" t="s">
        <v>230</v>
      </c>
      <c r="G822" s="1" t="s">
        <v>231</v>
      </c>
      <c r="H822" s="1" t="s">
        <v>221</v>
      </c>
      <c r="I822" s="1">
        <v>2</v>
      </c>
      <c r="J822" s="1">
        <v>1592</v>
      </c>
      <c r="K822" s="1">
        <v>2865.6</v>
      </c>
      <c r="L822" s="1" t="s">
        <v>240</v>
      </c>
      <c r="M822" s="1">
        <v>10</v>
      </c>
      <c r="N822" s="1">
        <v>664.35</v>
      </c>
    </row>
    <row r="823" spans="1:14" x14ac:dyDescent="0.25">
      <c r="A823" s="1">
        <v>1822</v>
      </c>
      <c r="B823" s="1" t="s">
        <v>475</v>
      </c>
      <c r="C823" s="1" t="s">
        <v>219</v>
      </c>
      <c r="D823" s="1" t="s">
        <v>214</v>
      </c>
      <c r="E823" s="1" t="s">
        <v>124</v>
      </c>
      <c r="F823" s="1" t="s">
        <v>225</v>
      </c>
      <c r="G823" s="1" t="s">
        <v>248</v>
      </c>
      <c r="H823" s="1" t="s">
        <v>128</v>
      </c>
      <c r="I823" s="1">
        <v>3</v>
      </c>
      <c r="J823" s="1">
        <v>11280</v>
      </c>
      <c r="K823" s="1">
        <v>28764</v>
      </c>
      <c r="L823" s="1" t="s">
        <v>227</v>
      </c>
      <c r="M823" s="1">
        <v>15</v>
      </c>
      <c r="N823" s="1">
        <v>7542.98</v>
      </c>
    </row>
    <row r="824" spans="1:14" x14ac:dyDescent="0.25">
      <c r="A824" s="1">
        <v>1823</v>
      </c>
      <c r="B824" s="1" t="s">
        <v>476</v>
      </c>
      <c r="C824" s="1" t="s">
        <v>223</v>
      </c>
      <c r="D824" s="1" t="s">
        <v>224</v>
      </c>
      <c r="E824" s="1" t="s">
        <v>233</v>
      </c>
      <c r="F824" s="1" t="s">
        <v>225</v>
      </c>
      <c r="G824" s="1" t="s">
        <v>248</v>
      </c>
      <c r="H824" s="1" t="s">
        <v>234</v>
      </c>
      <c r="I824" s="1">
        <v>2</v>
      </c>
      <c r="J824" s="1">
        <v>12114</v>
      </c>
      <c r="K824" s="1">
        <v>20593.8</v>
      </c>
      <c r="L824" s="1" t="s">
        <v>222</v>
      </c>
      <c r="M824" s="1">
        <v>15</v>
      </c>
      <c r="N824" s="1">
        <v>3298.14</v>
      </c>
    </row>
    <row r="825" spans="1:14" x14ac:dyDescent="0.25">
      <c r="A825" s="1">
        <v>1824</v>
      </c>
      <c r="B825" s="1" t="s">
        <v>476</v>
      </c>
      <c r="C825" s="1" t="s">
        <v>213</v>
      </c>
      <c r="D825" s="1" t="s">
        <v>224</v>
      </c>
      <c r="E825" s="1" t="s">
        <v>233</v>
      </c>
      <c r="F825" s="1" t="s">
        <v>215</v>
      </c>
      <c r="G825" s="1" t="s">
        <v>244</v>
      </c>
      <c r="H825" s="1" t="s">
        <v>234</v>
      </c>
      <c r="I825" s="1">
        <v>5</v>
      </c>
      <c r="J825" s="1">
        <v>6277</v>
      </c>
      <c r="K825" s="1">
        <v>31385</v>
      </c>
      <c r="L825" s="1" t="s">
        <v>218</v>
      </c>
      <c r="M825" s="1">
        <v>0</v>
      </c>
      <c r="N825" s="1">
        <v>8917.73</v>
      </c>
    </row>
    <row r="826" spans="1:14" x14ac:dyDescent="0.25">
      <c r="A826" s="1">
        <v>1825</v>
      </c>
      <c r="B826" s="1" t="s">
        <v>477</v>
      </c>
      <c r="C826" s="1" t="s">
        <v>229</v>
      </c>
      <c r="D826" s="1" t="s">
        <v>224</v>
      </c>
      <c r="E826" s="1" t="s">
        <v>233</v>
      </c>
      <c r="F826" s="1" t="s">
        <v>230</v>
      </c>
      <c r="G826" s="1" t="s">
        <v>241</v>
      </c>
      <c r="H826" s="1" t="s">
        <v>128</v>
      </c>
      <c r="I826" s="1">
        <v>1</v>
      </c>
      <c r="J826" s="1">
        <v>27449</v>
      </c>
      <c r="K826" s="1">
        <v>27449</v>
      </c>
      <c r="L826" s="1" t="s">
        <v>218</v>
      </c>
      <c r="M826" s="1">
        <v>0</v>
      </c>
      <c r="N826" s="1">
        <v>3350.84</v>
      </c>
    </row>
    <row r="827" spans="1:14" x14ac:dyDescent="0.25">
      <c r="A827" s="1">
        <v>1826</v>
      </c>
      <c r="B827" s="1" t="s">
        <v>477</v>
      </c>
      <c r="C827" s="1" t="s">
        <v>229</v>
      </c>
      <c r="D827" s="1" t="s">
        <v>245</v>
      </c>
      <c r="E827" s="1" t="s">
        <v>124</v>
      </c>
      <c r="F827" s="1" t="s">
        <v>230</v>
      </c>
      <c r="G827" s="1" t="s">
        <v>231</v>
      </c>
      <c r="H827" s="1" t="s">
        <v>221</v>
      </c>
      <c r="I827" s="1">
        <v>3</v>
      </c>
      <c r="J827" s="1">
        <v>11183</v>
      </c>
      <c r="K827" s="1">
        <v>28516.65</v>
      </c>
      <c r="L827" s="1" t="s">
        <v>222</v>
      </c>
      <c r="M827" s="1">
        <v>15</v>
      </c>
      <c r="N827" s="1">
        <v>4563.3900000000003</v>
      </c>
    </row>
    <row r="828" spans="1:14" x14ac:dyDescent="0.25">
      <c r="A828" s="1">
        <v>1827</v>
      </c>
      <c r="B828" s="1" t="s">
        <v>478</v>
      </c>
      <c r="C828" s="1" t="s">
        <v>229</v>
      </c>
      <c r="D828" s="1" t="s">
        <v>232</v>
      </c>
      <c r="E828" s="1" t="s">
        <v>233</v>
      </c>
      <c r="F828" s="1" t="s">
        <v>215</v>
      </c>
      <c r="G828" s="1" t="s">
        <v>216</v>
      </c>
      <c r="H828" s="1" t="s">
        <v>221</v>
      </c>
      <c r="I828" s="1">
        <v>5</v>
      </c>
      <c r="J828" s="1">
        <v>11156</v>
      </c>
      <c r="K828" s="1">
        <v>50202</v>
      </c>
      <c r="L828" s="1" t="s">
        <v>222</v>
      </c>
      <c r="M828" s="1">
        <v>10</v>
      </c>
      <c r="N828" s="1">
        <v>13457.61</v>
      </c>
    </row>
    <row r="829" spans="1:14" x14ac:dyDescent="0.25">
      <c r="A829" s="1">
        <v>1828</v>
      </c>
      <c r="B829" s="1" t="s">
        <v>478</v>
      </c>
      <c r="C829" s="1" t="s">
        <v>223</v>
      </c>
      <c r="D829" s="1" t="s">
        <v>220</v>
      </c>
      <c r="E829" s="1" t="s">
        <v>85</v>
      </c>
      <c r="F829" s="1" t="s">
        <v>225</v>
      </c>
      <c r="G829" s="1" t="s">
        <v>248</v>
      </c>
      <c r="H829" s="1" t="s">
        <v>128</v>
      </c>
      <c r="I829" s="1">
        <v>3</v>
      </c>
      <c r="J829" s="1">
        <v>38881</v>
      </c>
      <c r="K829" s="1">
        <v>99146.55</v>
      </c>
      <c r="L829" s="1" t="s">
        <v>218</v>
      </c>
      <c r="M829" s="1">
        <v>15</v>
      </c>
      <c r="N829" s="1">
        <v>10001.92</v>
      </c>
    </row>
    <row r="830" spans="1:14" x14ac:dyDescent="0.25">
      <c r="A830" s="1">
        <v>1829</v>
      </c>
      <c r="B830" s="1" t="s">
        <v>478</v>
      </c>
      <c r="C830" s="1" t="s">
        <v>219</v>
      </c>
      <c r="D830" s="1" t="s">
        <v>220</v>
      </c>
      <c r="E830" s="1" t="s">
        <v>85</v>
      </c>
      <c r="F830" s="1" t="s">
        <v>230</v>
      </c>
      <c r="G830" s="1" t="s">
        <v>231</v>
      </c>
      <c r="H830" s="1" t="s">
        <v>234</v>
      </c>
      <c r="I830" s="1">
        <v>4</v>
      </c>
      <c r="J830" s="1">
        <v>17894</v>
      </c>
      <c r="K830" s="1">
        <v>64418.400000000001</v>
      </c>
      <c r="L830" s="1" t="s">
        <v>227</v>
      </c>
      <c r="M830" s="1">
        <v>10</v>
      </c>
      <c r="N830" s="1">
        <v>8836.16</v>
      </c>
    </row>
    <row r="831" spans="1:14" x14ac:dyDescent="0.25">
      <c r="A831" s="1">
        <v>1830</v>
      </c>
      <c r="B831" s="1" t="s">
        <v>479</v>
      </c>
      <c r="C831" s="1" t="s">
        <v>239</v>
      </c>
      <c r="D831" s="1" t="s">
        <v>224</v>
      </c>
      <c r="E831" s="1" t="s">
        <v>233</v>
      </c>
      <c r="F831" s="1" t="s">
        <v>230</v>
      </c>
      <c r="G831" s="1" t="s">
        <v>242</v>
      </c>
      <c r="H831" s="1" t="s">
        <v>217</v>
      </c>
      <c r="I831" s="1">
        <v>3</v>
      </c>
      <c r="J831" s="1">
        <v>32666</v>
      </c>
      <c r="K831" s="1">
        <v>93098.1</v>
      </c>
      <c r="L831" s="1" t="s">
        <v>222</v>
      </c>
      <c r="M831" s="1">
        <v>5</v>
      </c>
      <c r="N831" s="1">
        <v>20408.07</v>
      </c>
    </row>
    <row r="832" spans="1:14" x14ac:dyDescent="0.25">
      <c r="A832" s="1">
        <v>1831</v>
      </c>
      <c r="B832" s="1" t="s">
        <v>479</v>
      </c>
      <c r="C832" s="1" t="s">
        <v>239</v>
      </c>
      <c r="D832" s="1" t="s">
        <v>220</v>
      </c>
      <c r="E832" s="1" t="s">
        <v>85</v>
      </c>
      <c r="F832" s="1" t="s">
        <v>225</v>
      </c>
      <c r="G832" s="1" t="s">
        <v>248</v>
      </c>
      <c r="H832" s="1" t="s">
        <v>217</v>
      </c>
      <c r="I832" s="1">
        <v>1</v>
      </c>
      <c r="J832" s="1">
        <v>26936</v>
      </c>
      <c r="K832" s="1">
        <v>26936</v>
      </c>
      <c r="L832" s="1" t="s">
        <v>218</v>
      </c>
      <c r="M832" s="1">
        <v>0</v>
      </c>
      <c r="N832" s="1">
        <v>7524.69</v>
      </c>
    </row>
    <row r="833" spans="1:14" x14ac:dyDescent="0.25">
      <c r="A833" s="1">
        <v>1832</v>
      </c>
      <c r="B833" s="1" t="s">
        <v>479</v>
      </c>
      <c r="C833" s="1" t="s">
        <v>213</v>
      </c>
      <c r="D833" s="1" t="s">
        <v>220</v>
      </c>
      <c r="E833" s="1" t="s">
        <v>85</v>
      </c>
      <c r="F833" s="1" t="s">
        <v>215</v>
      </c>
      <c r="G833" s="1" t="s">
        <v>244</v>
      </c>
      <c r="H833" s="1" t="s">
        <v>234</v>
      </c>
      <c r="I833" s="1">
        <v>5</v>
      </c>
      <c r="J833" s="1">
        <v>16372</v>
      </c>
      <c r="K833" s="1">
        <v>81860</v>
      </c>
      <c r="L833" s="1" t="s">
        <v>227</v>
      </c>
      <c r="M833" s="1">
        <v>0</v>
      </c>
      <c r="N833" s="1">
        <v>17883.37</v>
      </c>
    </row>
    <row r="834" spans="1:14" x14ac:dyDescent="0.25">
      <c r="A834" s="1">
        <v>1833</v>
      </c>
      <c r="B834" s="1" t="s">
        <v>479</v>
      </c>
      <c r="C834" s="1" t="s">
        <v>229</v>
      </c>
      <c r="D834" s="1" t="s">
        <v>220</v>
      </c>
      <c r="E834" s="1" t="s">
        <v>85</v>
      </c>
      <c r="F834" s="1" t="s">
        <v>215</v>
      </c>
      <c r="G834" s="1" t="s">
        <v>246</v>
      </c>
      <c r="H834" s="1" t="s">
        <v>221</v>
      </c>
      <c r="I834" s="1">
        <v>4</v>
      </c>
      <c r="J834" s="1">
        <v>8668</v>
      </c>
      <c r="K834" s="1">
        <v>34672</v>
      </c>
      <c r="L834" s="1" t="s">
        <v>227</v>
      </c>
      <c r="M834" s="1">
        <v>0</v>
      </c>
      <c r="N834" s="1">
        <v>8463.76</v>
      </c>
    </row>
    <row r="835" spans="1:14" x14ac:dyDescent="0.25">
      <c r="A835" s="1">
        <v>1834</v>
      </c>
      <c r="B835" s="1" t="s">
        <v>479</v>
      </c>
      <c r="C835" s="1" t="s">
        <v>213</v>
      </c>
      <c r="D835" s="1" t="s">
        <v>232</v>
      </c>
      <c r="E835" s="1" t="s">
        <v>233</v>
      </c>
      <c r="F835" s="1" t="s">
        <v>215</v>
      </c>
      <c r="G835" s="1" t="s">
        <v>246</v>
      </c>
      <c r="H835" s="1" t="s">
        <v>217</v>
      </c>
      <c r="I835" s="1">
        <v>5</v>
      </c>
      <c r="J835" s="1">
        <v>33743</v>
      </c>
      <c r="K835" s="1">
        <v>151843.5</v>
      </c>
      <c r="L835" s="1" t="s">
        <v>222</v>
      </c>
      <c r="M835" s="1">
        <v>10</v>
      </c>
      <c r="N835" s="1">
        <v>30132.9</v>
      </c>
    </row>
    <row r="836" spans="1:14" x14ac:dyDescent="0.25">
      <c r="A836" s="1">
        <v>1835</v>
      </c>
      <c r="B836" s="1" t="s">
        <v>480</v>
      </c>
      <c r="C836" s="1" t="s">
        <v>239</v>
      </c>
      <c r="D836" s="1" t="s">
        <v>214</v>
      </c>
      <c r="E836" s="1" t="s">
        <v>124</v>
      </c>
      <c r="F836" s="1" t="s">
        <v>225</v>
      </c>
      <c r="G836" s="1" t="s">
        <v>226</v>
      </c>
      <c r="H836" s="1" t="s">
        <v>221</v>
      </c>
      <c r="I836" s="1">
        <v>2</v>
      </c>
      <c r="J836" s="1">
        <v>37611</v>
      </c>
      <c r="K836" s="1">
        <v>71460.899999999994</v>
      </c>
      <c r="L836" s="1" t="s">
        <v>227</v>
      </c>
      <c r="M836" s="1">
        <v>5</v>
      </c>
      <c r="N836" s="1">
        <v>17082.259999999998</v>
      </c>
    </row>
    <row r="837" spans="1:14" x14ac:dyDescent="0.25">
      <c r="A837" s="1">
        <v>1836</v>
      </c>
      <c r="B837" s="1" t="s">
        <v>480</v>
      </c>
      <c r="C837" s="1" t="s">
        <v>239</v>
      </c>
      <c r="D837" s="1" t="s">
        <v>232</v>
      </c>
      <c r="E837" s="1" t="s">
        <v>233</v>
      </c>
      <c r="F837" s="1" t="s">
        <v>225</v>
      </c>
      <c r="G837" s="1" t="s">
        <v>236</v>
      </c>
      <c r="H837" s="1" t="s">
        <v>128</v>
      </c>
      <c r="I837" s="1">
        <v>3</v>
      </c>
      <c r="J837" s="1">
        <v>15377</v>
      </c>
      <c r="K837" s="1">
        <v>43824.45</v>
      </c>
      <c r="L837" s="1" t="s">
        <v>227</v>
      </c>
      <c r="M837" s="1">
        <v>5</v>
      </c>
      <c r="N837" s="1">
        <v>8999.15</v>
      </c>
    </row>
    <row r="838" spans="1:14" x14ac:dyDescent="0.25">
      <c r="A838" s="1">
        <v>1837</v>
      </c>
      <c r="B838" s="1" t="s">
        <v>480</v>
      </c>
      <c r="C838" s="1" t="s">
        <v>229</v>
      </c>
      <c r="D838" s="1" t="s">
        <v>224</v>
      </c>
      <c r="E838" s="1" t="s">
        <v>233</v>
      </c>
      <c r="F838" s="1" t="s">
        <v>230</v>
      </c>
      <c r="G838" s="1" t="s">
        <v>242</v>
      </c>
      <c r="H838" s="1" t="s">
        <v>234</v>
      </c>
      <c r="I838" s="1">
        <v>1</v>
      </c>
      <c r="J838" s="1">
        <v>4528</v>
      </c>
      <c r="K838" s="1">
        <v>4075.2</v>
      </c>
      <c r="L838" s="1" t="s">
        <v>227</v>
      </c>
      <c r="M838" s="1">
        <v>10</v>
      </c>
      <c r="N838" s="1">
        <v>876.57</v>
      </c>
    </row>
    <row r="839" spans="1:14" x14ac:dyDescent="0.25">
      <c r="A839" s="1">
        <v>1838</v>
      </c>
      <c r="B839" s="1" t="s">
        <v>480</v>
      </c>
      <c r="C839" s="1" t="s">
        <v>213</v>
      </c>
      <c r="D839" s="1" t="s">
        <v>232</v>
      </c>
      <c r="E839" s="1" t="s">
        <v>233</v>
      </c>
      <c r="F839" s="1" t="s">
        <v>225</v>
      </c>
      <c r="G839" s="1" t="s">
        <v>248</v>
      </c>
      <c r="H839" s="1" t="s">
        <v>128</v>
      </c>
      <c r="I839" s="1">
        <v>5</v>
      </c>
      <c r="J839" s="1">
        <v>33007</v>
      </c>
      <c r="K839" s="1">
        <v>165035</v>
      </c>
      <c r="L839" s="1" t="s">
        <v>240</v>
      </c>
      <c r="M839" s="1">
        <v>0</v>
      </c>
      <c r="N839" s="1">
        <v>42393.03</v>
      </c>
    </row>
    <row r="840" spans="1:14" x14ac:dyDescent="0.25">
      <c r="A840" s="1">
        <v>1839</v>
      </c>
      <c r="B840" s="1" t="s">
        <v>480</v>
      </c>
      <c r="C840" s="1" t="s">
        <v>239</v>
      </c>
      <c r="D840" s="1" t="s">
        <v>232</v>
      </c>
      <c r="E840" s="1" t="s">
        <v>233</v>
      </c>
      <c r="F840" s="1" t="s">
        <v>215</v>
      </c>
      <c r="G840" s="1" t="s">
        <v>216</v>
      </c>
      <c r="H840" s="1" t="s">
        <v>234</v>
      </c>
      <c r="I840" s="1">
        <v>5</v>
      </c>
      <c r="J840" s="1">
        <v>42072</v>
      </c>
      <c r="K840" s="1">
        <v>178806</v>
      </c>
      <c r="L840" s="1" t="s">
        <v>240</v>
      </c>
      <c r="M840" s="1">
        <v>15</v>
      </c>
      <c r="N840" s="1">
        <v>50283.49</v>
      </c>
    </row>
    <row r="841" spans="1:14" x14ac:dyDescent="0.25">
      <c r="A841" s="1">
        <v>1840</v>
      </c>
      <c r="B841" s="1" t="s">
        <v>481</v>
      </c>
      <c r="C841" s="1" t="s">
        <v>239</v>
      </c>
      <c r="D841" s="1" t="s">
        <v>220</v>
      </c>
      <c r="E841" s="1" t="s">
        <v>85</v>
      </c>
      <c r="F841" s="1" t="s">
        <v>215</v>
      </c>
      <c r="G841" s="1" t="s">
        <v>246</v>
      </c>
      <c r="H841" s="1" t="s">
        <v>234</v>
      </c>
      <c r="I841" s="1">
        <v>3</v>
      </c>
      <c r="J841" s="1">
        <v>25355</v>
      </c>
      <c r="K841" s="1">
        <v>76065</v>
      </c>
      <c r="L841" s="1" t="s">
        <v>222</v>
      </c>
      <c r="M841" s="1">
        <v>0</v>
      </c>
      <c r="N841" s="1">
        <v>9121.94</v>
      </c>
    </row>
    <row r="842" spans="1:14" x14ac:dyDescent="0.25">
      <c r="A842" s="1">
        <v>1841</v>
      </c>
      <c r="B842" s="1" t="s">
        <v>481</v>
      </c>
      <c r="C842" s="1" t="s">
        <v>229</v>
      </c>
      <c r="D842" s="1" t="s">
        <v>214</v>
      </c>
      <c r="E842" s="1" t="s">
        <v>124</v>
      </c>
      <c r="F842" s="1" t="s">
        <v>215</v>
      </c>
      <c r="G842" s="1" t="s">
        <v>216</v>
      </c>
      <c r="H842" s="1" t="s">
        <v>234</v>
      </c>
      <c r="I842" s="1">
        <v>3</v>
      </c>
      <c r="J842" s="1">
        <v>6302</v>
      </c>
      <c r="K842" s="1">
        <v>17015.400000000001</v>
      </c>
      <c r="L842" s="1" t="s">
        <v>218</v>
      </c>
      <c r="M842" s="1">
        <v>10</v>
      </c>
      <c r="N842" s="1">
        <v>4661.3999999999996</v>
      </c>
    </row>
    <row r="843" spans="1:14" x14ac:dyDescent="0.25">
      <c r="A843" s="1">
        <v>1842</v>
      </c>
      <c r="B843" s="1" t="s">
        <v>481</v>
      </c>
      <c r="C843" s="1" t="s">
        <v>219</v>
      </c>
      <c r="D843" s="1" t="s">
        <v>214</v>
      </c>
      <c r="E843" s="1" t="s">
        <v>124</v>
      </c>
      <c r="F843" s="1" t="s">
        <v>215</v>
      </c>
      <c r="G843" s="1" t="s">
        <v>244</v>
      </c>
      <c r="H843" s="1" t="s">
        <v>217</v>
      </c>
      <c r="I843" s="1">
        <v>1</v>
      </c>
      <c r="J843" s="1">
        <v>4896</v>
      </c>
      <c r="K843" s="1">
        <v>4896</v>
      </c>
      <c r="L843" s="1" t="s">
        <v>227</v>
      </c>
      <c r="M843" s="1">
        <v>0</v>
      </c>
      <c r="N843" s="1">
        <v>1466.25</v>
      </c>
    </row>
    <row r="844" spans="1:14" x14ac:dyDescent="0.25">
      <c r="A844" s="1">
        <v>1843</v>
      </c>
      <c r="B844" s="1" t="s">
        <v>481</v>
      </c>
      <c r="C844" s="1" t="s">
        <v>213</v>
      </c>
      <c r="D844" s="1" t="s">
        <v>220</v>
      </c>
      <c r="E844" s="1" t="s">
        <v>85</v>
      </c>
      <c r="F844" s="1" t="s">
        <v>230</v>
      </c>
      <c r="G844" s="1" t="s">
        <v>241</v>
      </c>
      <c r="H844" s="1" t="s">
        <v>128</v>
      </c>
      <c r="I844" s="1">
        <v>4</v>
      </c>
      <c r="J844" s="1">
        <v>25176</v>
      </c>
      <c r="K844" s="1">
        <v>85598.399999999994</v>
      </c>
      <c r="L844" s="1" t="s">
        <v>222</v>
      </c>
      <c r="M844" s="1">
        <v>15</v>
      </c>
      <c r="N844" s="1">
        <v>22233.119999999999</v>
      </c>
    </row>
    <row r="845" spans="1:14" x14ac:dyDescent="0.25">
      <c r="A845" s="1">
        <v>1844</v>
      </c>
      <c r="B845" s="1" t="s">
        <v>482</v>
      </c>
      <c r="C845" s="1" t="s">
        <v>223</v>
      </c>
      <c r="D845" s="1" t="s">
        <v>245</v>
      </c>
      <c r="E845" s="1" t="s">
        <v>124</v>
      </c>
      <c r="F845" s="1" t="s">
        <v>230</v>
      </c>
      <c r="G845" s="1" t="s">
        <v>242</v>
      </c>
      <c r="H845" s="1" t="s">
        <v>234</v>
      </c>
      <c r="I845" s="1">
        <v>3</v>
      </c>
      <c r="J845" s="1">
        <v>43018</v>
      </c>
      <c r="K845" s="1">
        <v>129054</v>
      </c>
      <c r="L845" s="1" t="s">
        <v>218</v>
      </c>
      <c r="M845" s="1">
        <v>0</v>
      </c>
      <c r="N845" s="1">
        <v>23934.95</v>
      </c>
    </row>
    <row r="846" spans="1:14" x14ac:dyDescent="0.25">
      <c r="A846" s="1">
        <v>1845</v>
      </c>
      <c r="B846" s="1" t="s">
        <v>482</v>
      </c>
      <c r="C846" s="1" t="s">
        <v>213</v>
      </c>
      <c r="D846" s="1" t="s">
        <v>245</v>
      </c>
      <c r="E846" s="1" t="s">
        <v>124</v>
      </c>
      <c r="F846" s="1" t="s">
        <v>230</v>
      </c>
      <c r="G846" s="1" t="s">
        <v>242</v>
      </c>
      <c r="H846" s="1" t="s">
        <v>221</v>
      </c>
      <c r="I846" s="1">
        <v>4</v>
      </c>
      <c r="J846" s="1">
        <v>49205</v>
      </c>
      <c r="K846" s="1">
        <v>177138</v>
      </c>
      <c r="L846" s="1" t="s">
        <v>227</v>
      </c>
      <c r="M846" s="1">
        <v>10</v>
      </c>
      <c r="N846" s="1">
        <v>48512.84</v>
      </c>
    </row>
    <row r="847" spans="1:14" x14ac:dyDescent="0.25">
      <c r="A847" s="1">
        <v>1846</v>
      </c>
      <c r="B847" s="1" t="s">
        <v>483</v>
      </c>
      <c r="C847" s="1" t="s">
        <v>213</v>
      </c>
      <c r="D847" s="1" t="s">
        <v>245</v>
      </c>
      <c r="E847" s="1" t="s">
        <v>124</v>
      </c>
      <c r="F847" s="1" t="s">
        <v>225</v>
      </c>
      <c r="G847" s="1" t="s">
        <v>236</v>
      </c>
      <c r="H847" s="1" t="s">
        <v>128</v>
      </c>
      <c r="I847" s="1">
        <v>2</v>
      </c>
      <c r="J847" s="1">
        <v>31903</v>
      </c>
      <c r="K847" s="1">
        <v>60615.7</v>
      </c>
      <c r="L847" s="1" t="s">
        <v>218</v>
      </c>
      <c r="M847" s="1">
        <v>5</v>
      </c>
      <c r="N847" s="1">
        <v>15687.34</v>
      </c>
    </row>
    <row r="848" spans="1:14" x14ac:dyDescent="0.25">
      <c r="A848" s="1">
        <v>1847</v>
      </c>
      <c r="B848" s="1" t="s">
        <v>483</v>
      </c>
      <c r="C848" s="1" t="s">
        <v>223</v>
      </c>
      <c r="D848" s="1" t="s">
        <v>214</v>
      </c>
      <c r="E848" s="1" t="s">
        <v>124</v>
      </c>
      <c r="F848" s="1" t="s">
        <v>225</v>
      </c>
      <c r="G848" s="1" t="s">
        <v>248</v>
      </c>
      <c r="H848" s="1" t="s">
        <v>128</v>
      </c>
      <c r="I848" s="1">
        <v>1</v>
      </c>
      <c r="J848" s="1">
        <v>41552</v>
      </c>
      <c r="K848" s="1">
        <v>39474.400000000001</v>
      </c>
      <c r="L848" s="1" t="s">
        <v>218</v>
      </c>
      <c r="M848" s="1">
        <v>5</v>
      </c>
      <c r="N848" s="1">
        <v>10419.030000000001</v>
      </c>
    </row>
    <row r="849" spans="1:14" x14ac:dyDescent="0.25">
      <c r="A849" s="1">
        <v>1848</v>
      </c>
      <c r="B849" s="1" t="s">
        <v>483</v>
      </c>
      <c r="C849" s="1" t="s">
        <v>219</v>
      </c>
      <c r="D849" s="1" t="s">
        <v>224</v>
      </c>
      <c r="E849" s="1" t="s">
        <v>233</v>
      </c>
      <c r="F849" s="1" t="s">
        <v>225</v>
      </c>
      <c r="G849" s="1" t="s">
        <v>236</v>
      </c>
      <c r="H849" s="1" t="s">
        <v>234</v>
      </c>
      <c r="I849" s="1">
        <v>2</v>
      </c>
      <c r="J849" s="1">
        <v>45883</v>
      </c>
      <c r="K849" s="1">
        <v>82589.399999999994</v>
      </c>
      <c r="L849" s="1" t="s">
        <v>222</v>
      </c>
      <c r="M849" s="1">
        <v>10</v>
      </c>
      <c r="N849" s="1">
        <v>11785.63</v>
      </c>
    </row>
    <row r="850" spans="1:14" x14ac:dyDescent="0.25">
      <c r="A850" s="1">
        <v>1849</v>
      </c>
      <c r="B850" s="1" t="s">
        <v>483</v>
      </c>
      <c r="C850" s="1" t="s">
        <v>213</v>
      </c>
      <c r="D850" s="1" t="s">
        <v>220</v>
      </c>
      <c r="E850" s="1" t="s">
        <v>85</v>
      </c>
      <c r="F850" s="1" t="s">
        <v>230</v>
      </c>
      <c r="G850" s="1" t="s">
        <v>242</v>
      </c>
      <c r="H850" s="1" t="s">
        <v>128</v>
      </c>
      <c r="I850" s="1">
        <v>5</v>
      </c>
      <c r="J850" s="1">
        <v>47150</v>
      </c>
      <c r="K850" s="1">
        <v>223962.5</v>
      </c>
      <c r="L850" s="1" t="s">
        <v>218</v>
      </c>
      <c r="M850" s="1">
        <v>5</v>
      </c>
      <c r="N850" s="1">
        <v>31471.53</v>
      </c>
    </row>
    <row r="851" spans="1:14" x14ac:dyDescent="0.25">
      <c r="A851" s="1">
        <v>1850</v>
      </c>
      <c r="B851" s="1" t="s">
        <v>483</v>
      </c>
      <c r="C851" s="1" t="s">
        <v>213</v>
      </c>
      <c r="D851" s="1" t="s">
        <v>214</v>
      </c>
      <c r="E851" s="1" t="s">
        <v>124</v>
      </c>
      <c r="F851" s="1" t="s">
        <v>230</v>
      </c>
      <c r="G851" s="1" t="s">
        <v>231</v>
      </c>
      <c r="H851" s="1" t="s">
        <v>221</v>
      </c>
      <c r="I851" s="1">
        <v>5</v>
      </c>
      <c r="J851" s="1">
        <v>20145</v>
      </c>
      <c r="K851" s="1">
        <v>100725</v>
      </c>
      <c r="L851" s="1" t="s">
        <v>218</v>
      </c>
      <c r="M851" s="1">
        <v>0</v>
      </c>
      <c r="N851" s="1">
        <v>28732.33</v>
      </c>
    </row>
    <row r="852" spans="1:14" x14ac:dyDescent="0.25">
      <c r="A852" s="1">
        <v>1851</v>
      </c>
      <c r="B852" s="1" t="s">
        <v>484</v>
      </c>
      <c r="C852" s="1" t="s">
        <v>223</v>
      </c>
      <c r="D852" s="1" t="s">
        <v>224</v>
      </c>
      <c r="E852" s="1" t="s">
        <v>233</v>
      </c>
      <c r="F852" s="1" t="s">
        <v>225</v>
      </c>
      <c r="G852" s="1" t="s">
        <v>236</v>
      </c>
      <c r="H852" s="1" t="s">
        <v>128</v>
      </c>
      <c r="I852" s="1">
        <v>2</v>
      </c>
      <c r="J852" s="1">
        <v>27063</v>
      </c>
      <c r="K852" s="1">
        <v>46007.1</v>
      </c>
      <c r="L852" s="1" t="s">
        <v>222</v>
      </c>
      <c r="M852" s="1">
        <v>15</v>
      </c>
      <c r="N852" s="1">
        <v>12786.97</v>
      </c>
    </row>
    <row r="853" spans="1:14" x14ac:dyDescent="0.25">
      <c r="A853" s="1">
        <v>1852</v>
      </c>
      <c r="B853" s="1" t="s">
        <v>484</v>
      </c>
      <c r="C853" s="1" t="s">
        <v>213</v>
      </c>
      <c r="D853" s="1" t="s">
        <v>214</v>
      </c>
      <c r="E853" s="1" t="s">
        <v>124</v>
      </c>
      <c r="F853" s="1" t="s">
        <v>225</v>
      </c>
      <c r="G853" s="1" t="s">
        <v>248</v>
      </c>
      <c r="H853" s="1" t="s">
        <v>234</v>
      </c>
      <c r="I853" s="1">
        <v>5</v>
      </c>
      <c r="J853" s="1">
        <v>25767</v>
      </c>
      <c r="K853" s="1">
        <v>122393.25</v>
      </c>
      <c r="L853" s="1" t="s">
        <v>222</v>
      </c>
      <c r="M853" s="1">
        <v>5</v>
      </c>
      <c r="N853" s="1">
        <v>21663.3</v>
      </c>
    </row>
    <row r="854" spans="1:14" x14ac:dyDescent="0.25">
      <c r="A854" s="1">
        <v>1853</v>
      </c>
      <c r="B854" s="1" t="s">
        <v>485</v>
      </c>
      <c r="C854" s="1" t="s">
        <v>219</v>
      </c>
      <c r="D854" s="1" t="s">
        <v>220</v>
      </c>
      <c r="E854" s="1" t="s">
        <v>85</v>
      </c>
      <c r="F854" s="1" t="s">
        <v>230</v>
      </c>
      <c r="G854" s="1" t="s">
        <v>231</v>
      </c>
      <c r="H854" s="1" t="s">
        <v>217</v>
      </c>
      <c r="I854" s="1">
        <v>2</v>
      </c>
      <c r="J854" s="1">
        <v>3807</v>
      </c>
      <c r="K854" s="1">
        <v>6852.6</v>
      </c>
      <c r="L854" s="1" t="s">
        <v>218</v>
      </c>
      <c r="M854" s="1">
        <v>10</v>
      </c>
      <c r="N854" s="1">
        <v>1762.67</v>
      </c>
    </row>
    <row r="855" spans="1:14" x14ac:dyDescent="0.25">
      <c r="A855" s="1">
        <v>1854</v>
      </c>
      <c r="B855" s="1" t="s">
        <v>485</v>
      </c>
      <c r="C855" s="1" t="s">
        <v>239</v>
      </c>
      <c r="D855" s="1" t="s">
        <v>245</v>
      </c>
      <c r="E855" s="1" t="s">
        <v>124</v>
      </c>
      <c r="F855" s="1" t="s">
        <v>230</v>
      </c>
      <c r="G855" s="1" t="s">
        <v>241</v>
      </c>
      <c r="H855" s="1" t="s">
        <v>221</v>
      </c>
      <c r="I855" s="1">
        <v>3</v>
      </c>
      <c r="J855" s="1">
        <v>40683</v>
      </c>
      <c r="K855" s="1">
        <v>115946.55</v>
      </c>
      <c r="L855" s="1" t="s">
        <v>222</v>
      </c>
      <c r="M855" s="1">
        <v>5</v>
      </c>
      <c r="N855" s="1">
        <v>32044.94</v>
      </c>
    </row>
    <row r="856" spans="1:14" x14ac:dyDescent="0.25">
      <c r="A856" s="1">
        <v>1855</v>
      </c>
      <c r="B856" s="1" t="s">
        <v>485</v>
      </c>
      <c r="C856" s="1" t="s">
        <v>223</v>
      </c>
      <c r="D856" s="1" t="s">
        <v>214</v>
      </c>
      <c r="E856" s="1" t="s">
        <v>124</v>
      </c>
      <c r="F856" s="1" t="s">
        <v>225</v>
      </c>
      <c r="G856" s="1" t="s">
        <v>248</v>
      </c>
      <c r="H856" s="1" t="s">
        <v>128</v>
      </c>
      <c r="I856" s="1">
        <v>5</v>
      </c>
      <c r="J856" s="1">
        <v>15824</v>
      </c>
      <c r="K856" s="1">
        <v>71208</v>
      </c>
      <c r="L856" s="1" t="s">
        <v>227</v>
      </c>
      <c r="M856" s="1">
        <v>10</v>
      </c>
      <c r="N856" s="1">
        <v>12702.38</v>
      </c>
    </row>
    <row r="857" spans="1:14" x14ac:dyDescent="0.25">
      <c r="A857" s="1">
        <v>1856</v>
      </c>
      <c r="B857" s="1" t="s">
        <v>486</v>
      </c>
      <c r="C857" s="1" t="s">
        <v>223</v>
      </c>
      <c r="D857" s="1" t="s">
        <v>232</v>
      </c>
      <c r="E857" s="1" t="s">
        <v>233</v>
      </c>
      <c r="F857" s="1" t="s">
        <v>225</v>
      </c>
      <c r="G857" s="1" t="s">
        <v>226</v>
      </c>
      <c r="H857" s="1" t="s">
        <v>217</v>
      </c>
      <c r="I857" s="1">
        <v>1</v>
      </c>
      <c r="J857" s="1">
        <v>24090</v>
      </c>
      <c r="K857" s="1">
        <v>22885.5</v>
      </c>
      <c r="L857" s="1" t="s">
        <v>218</v>
      </c>
      <c r="M857" s="1">
        <v>5</v>
      </c>
      <c r="N857" s="1">
        <v>2854.74</v>
      </c>
    </row>
    <row r="858" spans="1:14" x14ac:dyDescent="0.25">
      <c r="A858" s="1">
        <v>1857</v>
      </c>
      <c r="B858" s="1" t="s">
        <v>486</v>
      </c>
      <c r="C858" s="1" t="s">
        <v>223</v>
      </c>
      <c r="D858" s="1" t="s">
        <v>214</v>
      </c>
      <c r="E858" s="1" t="s">
        <v>124</v>
      </c>
      <c r="F858" s="1" t="s">
        <v>230</v>
      </c>
      <c r="G858" s="1" t="s">
        <v>242</v>
      </c>
      <c r="H858" s="1" t="s">
        <v>217</v>
      </c>
      <c r="I858" s="1">
        <v>4</v>
      </c>
      <c r="J858" s="1">
        <v>43311</v>
      </c>
      <c r="K858" s="1">
        <v>147257.4</v>
      </c>
      <c r="L858" s="1" t="s">
        <v>227</v>
      </c>
      <c r="M858" s="1">
        <v>15</v>
      </c>
      <c r="N858" s="1">
        <v>35788.67</v>
      </c>
    </row>
    <row r="859" spans="1:14" x14ac:dyDescent="0.25">
      <c r="A859" s="1">
        <v>1858</v>
      </c>
      <c r="B859" s="1" t="s">
        <v>486</v>
      </c>
      <c r="C859" s="1" t="s">
        <v>229</v>
      </c>
      <c r="D859" s="1" t="s">
        <v>220</v>
      </c>
      <c r="E859" s="1" t="s">
        <v>85</v>
      </c>
      <c r="F859" s="1" t="s">
        <v>225</v>
      </c>
      <c r="G859" s="1" t="s">
        <v>248</v>
      </c>
      <c r="H859" s="1" t="s">
        <v>217</v>
      </c>
      <c r="I859" s="1">
        <v>2</v>
      </c>
      <c r="J859" s="1">
        <v>33668</v>
      </c>
      <c r="K859" s="1">
        <v>63969.2</v>
      </c>
      <c r="L859" s="1" t="s">
        <v>227</v>
      </c>
      <c r="M859" s="1">
        <v>5</v>
      </c>
      <c r="N859" s="1">
        <v>8392.64</v>
      </c>
    </row>
    <row r="860" spans="1:14" x14ac:dyDescent="0.25">
      <c r="A860" s="1">
        <v>1859</v>
      </c>
      <c r="B860" s="1" t="s">
        <v>486</v>
      </c>
      <c r="C860" s="1" t="s">
        <v>223</v>
      </c>
      <c r="D860" s="1" t="s">
        <v>232</v>
      </c>
      <c r="E860" s="1" t="s">
        <v>233</v>
      </c>
      <c r="F860" s="1" t="s">
        <v>215</v>
      </c>
      <c r="G860" s="1" t="s">
        <v>246</v>
      </c>
      <c r="H860" s="1" t="s">
        <v>234</v>
      </c>
      <c r="I860" s="1">
        <v>1</v>
      </c>
      <c r="J860" s="1">
        <v>3401</v>
      </c>
      <c r="K860" s="1">
        <v>3401</v>
      </c>
      <c r="L860" s="1" t="s">
        <v>222</v>
      </c>
      <c r="M860" s="1">
        <v>0</v>
      </c>
      <c r="N860" s="1">
        <v>346.63</v>
      </c>
    </row>
    <row r="861" spans="1:14" x14ac:dyDescent="0.25">
      <c r="A861" s="1">
        <v>1860</v>
      </c>
      <c r="B861" s="1" t="s">
        <v>487</v>
      </c>
      <c r="C861" s="1" t="s">
        <v>229</v>
      </c>
      <c r="D861" s="1" t="s">
        <v>245</v>
      </c>
      <c r="E861" s="1" t="s">
        <v>124</v>
      </c>
      <c r="F861" s="1" t="s">
        <v>225</v>
      </c>
      <c r="G861" s="1" t="s">
        <v>226</v>
      </c>
      <c r="H861" s="1" t="s">
        <v>234</v>
      </c>
      <c r="I861" s="1">
        <v>1</v>
      </c>
      <c r="J861" s="1">
        <v>6654</v>
      </c>
      <c r="K861" s="1">
        <v>5988.6</v>
      </c>
      <c r="L861" s="1" t="s">
        <v>227</v>
      </c>
      <c r="M861" s="1">
        <v>10</v>
      </c>
      <c r="N861" s="1">
        <v>1043.8599999999999</v>
      </c>
    </row>
    <row r="862" spans="1:14" x14ac:dyDescent="0.25">
      <c r="A862" s="1">
        <v>1861</v>
      </c>
      <c r="B862" s="1" t="s">
        <v>487</v>
      </c>
      <c r="C862" s="1" t="s">
        <v>239</v>
      </c>
      <c r="D862" s="1" t="s">
        <v>232</v>
      </c>
      <c r="E862" s="1" t="s">
        <v>233</v>
      </c>
      <c r="F862" s="1" t="s">
        <v>230</v>
      </c>
      <c r="G862" s="1" t="s">
        <v>242</v>
      </c>
      <c r="H862" s="1" t="s">
        <v>234</v>
      </c>
      <c r="I862" s="1">
        <v>1</v>
      </c>
      <c r="J862" s="1">
        <v>33013</v>
      </c>
      <c r="K862" s="1">
        <v>33013</v>
      </c>
      <c r="L862" s="1" t="s">
        <v>240</v>
      </c>
      <c r="M862" s="1">
        <v>0</v>
      </c>
      <c r="N862" s="1">
        <v>4825.2700000000004</v>
      </c>
    </row>
    <row r="863" spans="1:14" x14ac:dyDescent="0.25">
      <c r="A863" s="1">
        <v>1862</v>
      </c>
      <c r="B863" s="1" t="s">
        <v>488</v>
      </c>
      <c r="C863" s="1" t="s">
        <v>223</v>
      </c>
      <c r="D863" s="1" t="s">
        <v>214</v>
      </c>
      <c r="E863" s="1" t="s">
        <v>124</v>
      </c>
      <c r="F863" s="1" t="s">
        <v>215</v>
      </c>
      <c r="G863" s="1" t="s">
        <v>246</v>
      </c>
      <c r="H863" s="1" t="s">
        <v>128</v>
      </c>
      <c r="I863" s="1">
        <v>3</v>
      </c>
      <c r="J863" s="1">
        <v>31751</v>
      </c>
      <c r="K863" s="1">
        <v>80965.05</v>
      </c>
      <c r="L863" s="1" t="s">
        <v>227</v>
      </c>
      <c r="M863" s="1">
        <v>15</v>
      </c>
      <c r="N863" s="1">
        <v>19030.46</v>
      </c>
    </row>
    <row r="864" spans="1:14" x14ac:dyDescent="0.25">
      <c r="A864" s="1">
        <v>1863</v>
      </c>
      <c r="B864" s="1" t="s">
        <v>488</v>
      </c>
      <c r="C864" s="1" t="s">
        <v>239</v>
      </c>
      <c r="D864" s="1" t="s">
        <v>245</v>
      </c>
      <c r="E864" s="1" t="s">
        <v>124</v>
      </c>
      <c r="F864" s="1" t="s">
        <v>215</v>
      </c>
      <c r="G864" s="1" t="s">
        <v>216</v>
      </c>
      <c r="H864" s="1" t="s">
        <v>217</v>
      </c>
      <c r="I864" s="1">
        <v>4</v>
      </c>
      <c r="J864" s="1">
        <v>23528</v>
      </c>
      <c r="K864" s="1">
        <v>89406.399999999994</v>
      </c>
      <c r="L864" s="1" t="s">
        <v>222</v>
      </c>
      <c r="M864" s="1">
        <v>5</v>
      </c>
      <c r="N864" s="1">
        <v>16706.13</v>
      </c>
    </row>
    <row r="865" spans="1:14" x14ac:dyDescent="0.25">
      <c r="A865" s="1">
        <v>1864</v>
      </c>
      <c r="B865" s="1" t="s">
        <v>489</v>
      </c>
      <c r="C865" s="1" t="s">
        <v>223</v>
      </c>
      <c r="D865" s="1" t="s">
        <v>224</v>
      </c>
      <c r="E865" s="1" t="s">
        <v>233</v>
      </c>
      <c r="F865" s="1" t="s">
        <v>225</v>
      </c>
      <c r="G865" s="1" t="s">
        <v>236</v>
      </c>
      <c r="H865" s="1" t="s">
        <v>221</v>
      </c>
      <c r="I865" s="1">
        <v>3</v>
      </c>
      <c r="J865" s="1">
        <v>10180</v>
      </c>
      <c r="K865" s="1">
        <v>30540</v>
      </c>
      <c r="L865" s="1" t="s">
        <v>227</v>
      </c>
      <c r="M865" s="1">
        <v>0</v>
      </c>
      <c r="N865" s="1">
        <v>8156.1</v>
      </c>
    </row>
    <row r="866" spans="1:14" x14ac:dyDescent="0.25">
      <c r="A866" s="1">
        <v>1865</v>
      </c>
      <c r="B866" s="1" t="s">
        <v>489</v>
      </c>
      <c r="C866" s="1" t="s">
        <v>223</v>
      </c>
      <c r="D866" s="1" t="s">
        <v>224</v>
      </c>
      <c r="E866" s="1" t="s">
        <v>233</v>
      </c>
      <c r="F866" s="1" t="s">
        <v>225</v>
      </c>
      <c r="G866" s="1" t="s">
        <v>226</v>
      </c>
      <c r="H866" s="1" t="s">
        <v>128</v>
      </c>
      <c r="I866" s="1">
        <v>5</v>
      </c>
      <c r="J866" s="1">
        <v>44841</v>
      </c>
      <c r="K866" s="1">
        <v>190574.25</v>
      </c>
      <c r="L866" s="1" t="s">
        <v>222</v>
      </c>
      <c r="M866" s="1">
        <v>15</v>
      </c>
      <c r="N866" s="1">
        <v>30105.69</v>
      </c>
    </row>
    <row r="867" spans="1:14" x14ac:dyDescent="0.25">
      <c r="A867" s="1">
        <v>1866</v>
      </c>
      <c r="B867" s="1" t="s">
        <v>489</v>
      </c>
      <c r="C867" s="1" t="s">
        <v>223</v>
      </c>
      <c r="D867" s="1" t="s">
        <v>220</v>
      </c>
      <c r="E867" s="1" t="s">
        <v>85</v>
      </c>
      <c r="F867" s="1" t="s">
        <v>230</v>
      </c>
      <c r="G867" s="1" t="s">
        <v>242</v>
      </c>
      <c r="H867" s="1" t="s">
        <v>217</v>
      </c>
      <c r="I867" s="1">
        <v>3</v>
      </c>
      <c r="J867" s="1">
        <v>17229</v>
      </c>
      <c r="K867" s="1">
        <v>49102.65</v>
      </c>
      <c r="L867" s="1" t="s">
        <v>222</v>
      </c>
      <c r="M867" s="1">
        <v>5</v>
      </c>
      <c r="N867" s="1">
        <v>10232.75</v>
      </c>
    </row>
    <row r="868" spans="1:14" x14ac:dyDescent="0.25">
      <c r="A868" s="1">
        <v>1867</v>
      </c>
      <c r="B868" s="1" t="s">
        <v>490</v>
      </c>
      <c r="C868" s="1" t="s">
        <v>213</v>
      </c>
      <c r="D868" s="1" t="s">
        <v>245</v>
      </c>
      <c r="E868" s="1" t="s">
        <v>124</v>
      </c>
      <c r="F868" s="1" t="s">
        <v>230</v>
      </c>
      <c r="G868" s="1" t="s">
        <v>242</v>
      </c>
      <c r="H868" s="1" t="s">
        <v>217</v>
      </c>
      <c r="I868" s="1">
        <v>4</v>
      </c>
      <c r="J868" s="1">
        <v>6216</v>
      </c>
      <c r="K868" s="1">
        <v>23620.799999999999</v>
      </c>
      <c r="L868" s="1" t="s">
        <v>222</v>
      </c>
      <c r="M868" s="1">
        <v>5</v>
      </c>
      <c r="N868" s="1">
        <v>3306.42</v>
      </c>
    </row>
    <row r="869" spans="1:14" x14ac:dyDescent="0.25">
      <c r="A869" s="1">
        <v>1868</v>
      </c>
      <c r="B869" s="1" t="s">
        <v>490</v>
      </c>
      <c r="C869" s="1" t="s">
        <v>229</v>
      </c>
      <c r="D869" s="1" t="s">
        <v>214</v>
      </c>
      <c r="E869" s="1" t="s">
        <v>124</v>
      </c>
      <c r="F869" s="1" t="s">
        <v>215</v>
      </c>
      <c r="G869" s="1" t="s">
        <v>244</v>
      </c>
      <c r="H869" s="1" t="s">
        <v>234</v>
      </c>
      <c r="I869" s="1">
        <v>3</v>
      </c>
      <c r="J869" s="1">
        <v>27151</v>
      </c>
      <c r="K869" s="1">
        <v>73307.7</v>
      </c>
      <c r="L869" s="1" t="s">
        <v>222</v>
      </c>
      <c r="M869" s="1">
        <v>10</v>
      </c>
      <c r="N869" s="1">
        <v>20878.169999999998</v>
      </c>
    </row>
    <row r="870" spans="1:14" x14ac:dyDescent="0.25">
      <c r="A870" s="1">
        <v>1869</v>
      </c>
      <c r="B870" s="1" t="s">
        <v>491</v>
      </c>
      <c r="C870" s="1" t="s">
        <v>213</v>
      </c>
      <c r="D870" s="1" t="s">
        <v>224</v>
      </c>
      <c r="E870" s="1" t="s">
        <v>233</v>
      </c>
      <c r="F870" s="1" t="s">
        <v>215</v>
      </c>
      <c r="G870" s="1" t="s">
        <v>216</v>
      </c>
      <c r="H870" s="1" t="s">
        <v>234</v>
      </c>
      <c r="I870" s="1">
        <v>4</v>
      </c>
      <c r="J870" s="1">
        <v>5328</v>
      </c>
      <c r="K870" s="1">
        <v>20246.400000000001</v>
      </c>
      <c r="L870" s="1" t="s">
        <v>222</v>
      </c>
      <c r="M870" s="1">
        <v>5</v>
      </c>
      <c r="N870" s="1">
        <v>2117.69</v>
      </c>
    </row>
    <row r="871" spans="1:14" x14ac:dyDescent="0.25">
      <c r="A871" s="1">
        <v>1870</v>
      </c>
      <c r="B871" s="1" t="s">
        <v>491</v>
      </c>
      <c r="C871" s="1" t="s">
        <v>229</v>
      </c>
      <c r="D871" s="1" t="s">
        <v>224</v>
      </c>
      <c r="E871" s="1" t="s">
        <v>233</v>
      </c>
      <c r="F871" s="1" t="s">
        <v>215</v>
      </c>
      <c r="G871" s="1" t="s">
        <v>216</v>
      </c>
      <c r="H871" s="1" t="s">
        <v>221</v>
      </c>
      <c r="I871" s="1">
        <v>4</v>
      </c>
      <c r="J871" s="1">
        <v>12465</v>
      </c>
      <c r="K871" s="1">
        <v>47367</v>
      </c>
      <c r="L871" s="1" t="s">
        <v>222</v>
      </c>
      <c r="M871" s="1">
        <v>5</v>
      </c>
      <c r="N871" s="1">
        <v>5386.71</v>
      </c>
    </row>
    <row r="872" spans="1:14" x14ac:dyDescent="0.25">
      <c r="A872" s="1">
        <v>1871</v>
      </c>
      <c r="B872" s="1" t="s">
        <v>491</v>
      </c>
      <c r="C872" s="1" t="s">
        <v>223</v>
      </c>
      <c r="D872" s="1" t="s">
        <v>214</v>
      </c>
      <c r="E872" s="1" t="s">
        <v>124</v>
      </c>
      <c r="F872" s="1" t="s">
        <v>215</v>
      </c>
      <c r="G872" s="1" t="s">
        <v>244</v>
      </c>
      <c r="H872" s="1" t="s">
        <v>221</v>
      </c>
      <c r="I872" s="1">
        <v>2</v>
      </c>
      <c r="J872" s="1">
        <v>45046</v>
      </c>
      <c r="K872" s="1">
        <v>90092</v>
      </c>
      <c r="L872" s="1" t="s">
        <v>222</v>
      </c>
      <c r="M872" s="1">
        <v>0</v>
      </c>
      <c r="N872" s="1">
        <v>11523.6</v>
      </c>
    </row>
    <row r="873" spans="1:14" x14ac:dyDescent="0.25">
      <c r="A873" s="1">
        <v>1872</v>
      </c>
      <c r="B873" s="1" t="s">
        <v>491</v>
      </c>
      <c r="C873" s="1" t="s">
        <v>239</v>
      </c>
      <c r="D873" s="1" t="s">
        <v>224</v>
      </c>
      <c r="E873" s="1" t="s">
        <v>233</v>
      </c>
      <c r="F873" s="1" t="s">
        <v>230</v>
      </c>
      <c r="G873" s="1" t="s">
        <v>241</v>
      </c>
      <c r="H873" s="1" t="s">
        <v>217</v>
      </c>
      <c r="I873" s="1">
        <v>3</v>
      </c>
      <c r="J873" s="1">
        <v>46924</v>
      </c>
      <c r="K873" s="1">
        <v>126694.8</v>
      </c>
      <c r="L873" s="1" t="s">
        <v>222</v>
      </c>
      <c r="M873" s="1">
        <v>10</v>
      </c>
      <c r="N873" s="1">
        <v>13794.92</v>
      </c>
    </row>
    <row r="874" spans="1:14" x14ac:dyDescent="0.25">
      <c r="A874" s="1">
        <v>1873</v>
      </c>
      <c r="B874" s="1" t="s">
        <v>491</v>
      </c>
      <c r="C874" s="1" t="s">
        <v>213</v>
      </c>
      <c r="D874" s="1" t="s">
        <v>245</v>
      </c>
      <c r="E874" s="1" t="s">
        <v>124</v>
      </c>
      <c r="F874" s="1" t="s">
        <v>225</v>
      </c>
      <c r="G874" s="1" t="s">
        <v>226</v>
      </c>
      <c r="H874" s="1" t="s">
        <v>217</v>
      </c>
      <c r="I874" s="1">
        <v>5</v>
      </c>
      <c r="J874" s="1">
        <v>37830</v>
      </c>
      <c r="K874" s="1">
        <v>179692.5</v>
      </c>
      <c r="L874" s="1" t="s">
        <v>218</v>
      </c>
      <c r="M874" s="1">
        <v>5</v>
      </c>
      <c r="N874" s="1">
        <v>42437.39</v>
      </c>
    </row>
    <row r="875" spans="1:14" x14ac:dyDescent="0.25">
      <c r="A875" s="1">
        <v>1874</v>
      </c>
      <c r="B875" s="1" t="s">
        <v>492</v>
      </c>
      <c r="C875" s="1" t="s">
        <v>223</v>
      </c>
      <c r="D875" s="1" t="s">
        <v>245</v>
      </c>
      <c r="E875" s="1" t="s">
        <v>124</v>
      </c>
      <c r="F875" s="1" t="s">
        <v>215</v>
      </c>
      <c r="G875" s="1" t="s">
        <v>244</v>
      </c>
      <c r="H875" s="1" t="s">
        <v>217</v>
      </c>
      <c r="I875" s="1">
        <v>1</v>
      </c>
      <c r="J875" s="1">
        <v>40560</v>
      </c>
      <c r="K875" s="1">
        <v>36504</v>
      </c>
      <c r="L875" s="1" t="s">
        <v>218</v>
      </c>
      <c r="M875" s="1">
        <v>10</v>
      </c>
      <c r="N875" s="1">
        <v>7024.57</v>
      </c>
    </row>
    <row r="876" spans="1:14" x14ac:dyDescent="0.25">
      <c r="A876" s="1">
        <v>1875</v>
      </c>
      <c r="B876" s="1" t="s">
        <v>492</v>
      </c>
      <c r="C876" s="1" t="s">
        <v>213</v>
      </c>
      <c r="D876" s="1" t="s">
        <v>220</v>
      </c>
      <c r="E876" s="1" t="s">
        <v>85</v>
      </c>
      <c r="F876" s="1" t="s">
        <v>215</v>
      </c>
      <c r="G876" s="1" t="s">
        <v>244</v>
      </c>
      <c r="H876" s="1" t="s">
        <v>217</v>
      </c>
      <c r="I876" s="1">
        <v>1</v>
      </c>
      <c r="J876" s="1">
        <v>45139</v>
      </c>
      <c r="K876" s="1">
        <v>38368.15</v>
      </c>
      <c r="L876" s="1" t="s">
        <v>240</v>
      </c>
      <c r="M876" s="1">
        <v>15</v>
      </c>
      <c r="N876" s="1">
        <v>7675.48</v>
      </c>
    </row>
    <row r="877" spans="1:14" x14ac:dyDescent="0.25">
      <c r="A877" s="1">
        <v>1876</v>
      </c>
      <c r="B877" s="1" t="s">
        <v>492</v>
      </c>
      <c r="C877" s="1" t="s">
        <v>229</v>
      </c>
      <c r="D877" s="1" t="s">
        <v>232</v>
      </c>
      <c r="E877" s="1" t="s">
        <v>233</v>
      </c>
      <c r="F877" s="1" t="s">
        <v>225</v>
      </c>
      <c r="G877" s="1" t="s">
        <v>226</v>
      </c>
      <c r="H877" s="1" t="s">
        <v>234</v>
      </c>
      <c r="I877" s="1">
        <v>3</v>
      </c>
      <c r="J877" s="1">
        <v>19827</v>
      </c>
      <c r="K877" s="1">
        <v>59481</v>
      </c>
      <c r="L877" s="1" t="s">
        <v>222</v>
      </c>
      <c r="M877" s="1">
        <v>0</v>
      </c>
      <c r="N877" s="1">
        <v>13315.57</v>
      </c>
    </row>
    <row r="878" spans="1:14" x14ac:dyDescent="0.25">
      <c r="A878" s="1">
        <v>1877</v>
      </c>
      <c r="B878" s="1" t="s">
        <v>492</v>
      </c>
      <c r="C878" s="1" t="s">
        <v>229</v>
      </c>
      <c r="D878" s="1" t="s">
        <v>214</v>
      </c>
      <c r="E878" s="1" t="s">
        <v>124</v>
      </c>
      <c r="F878" s="1" t="s">
        <v>230</v>
      </c>
      <c r="G878" s="1" t="s">
        <v>242</v>
      </c>
      <c r="H878" s="1" t="s">
        <v>128</v>
      </c>
      <c r="I878" s="1">
        <v>4</v>
      </c>
      <c r="J878" s="1">
        <v>18346</v>
      </c>
      <c r="K878" s="1">
        <v>73384</v>
      </c>
      <c r="L878" s="1" t="s">
        <v>240</v>
      </c>
      <c r="M878" s="1">
        <v>0</v>
      </c>
      <c r="N878" s="1">
        <v>10646.22</v>
      </c>
    </row>
    <row r="879" spans="1:14" x14ac:dyDescent="0.25">
      <c r="A879" s="1">
        <v>1878</v>
      </c>
      <c r="B879" s="1" t="s">
        <v>493</v>
      </c>
      <c r="C879" s="1" t="s">
        <v>213</v>
      </c>
      <c r="D879" s="1" t="s">
        <v>245</v>
      </c>
      <c r="E879" s="1" t="s">
        <v>124</v>
      </c>
      <c r="F879" s="1" t="s">
        <v>215</v>
      </c>
      <c r="G879" s="1" t="s">
        <v>216</v>
      </c>
      <c r="H879" s="1" t="s">
        <v>234</v>
      </c>
      <c r="I879" s="1">
        <v>1</v>
      </c>
      <c r="J879" s="1">
        <v>5410</v>
      </c>
      <c r="K879" s="1">
        <v>4869</v>
      </c>
      <c r="L879" s="1" t="s">
        <v>218</v>
      </c>
      <c r="M879" s="1">
        <v>10</v>
      </c>
      <c r="N879" s="1">
        <v>637.15</v>
      </c>
    </row>
    <row r="880" spans="1:14" x14ac:dyDescent="0.25">
      <c r="A880" s="1">
        <v>1879</v>
      </c>
      <c r="B880" s="1" t="s">
        <v>493</v>
      </c>
      <c r="C880" s="1" t="s">
        <v>223</v>
      </c>
      <c r="D880" s="1" t="s">
        <v>232</v>
      </c>
      <c r="E880" s="1" t="s">
        <v>233</v>
      </c>
      <c r="F880" s="1" t="s">
        <v>215</v>
      </c>
      <c r="G880" s="1" t="s">
        <v>246</v>
      </c>
      <c r="H880" s="1" t="s">
        <v>217</v>
      </c>
      <c r="I880" s="1">
        <v>1</v>
      </c>
      <c r="J880" s="1">
        <v>19491</v>
      </c>
      <c r="K880" s="1">
        <v>18516.45</v>
      </c>
      <c r="L880" s="1" t="s">
        <v>218</v>
      </c>
      <c r="M880" s="1">
        <v>5</v>
      </c>
      <c r="N880" s="1">
        <v>2855.86</v>
      </c>
    </row>
    <row r="881" spans="1:14" x14ac:dyDescent="0.25">
      <c r="A881" s="1">
        <v>1880</v>
      </c>
      <c r="B881" s="1" t="s">
        <v>493</v>
      </c>
      <c r="C881" s="1" t="s">
        <v>229</v>
      </c>
      <c r="D881" s="1" t="s">
        <v>220</v>
      </c>
      <c r="E881" s="1" t="s">
        <v>85</v>
      </c>
      <c r="F881" s="1" t="s">
        <v>230</v>
      </c>
      <c r="G881" s="1" t="s">
        <v>242</v>
      </c>
      <c r="H881" s="1" t="s">
        <v>217</v>
      </c>
      <c r="I881" s="1">
        <v>1</v>
      </c>
      <c r="J881" s="1">
        <v>33671</v>
      </c>
      <c r="K881" s="1">
        <v>28620.35</v>
      </c>
      <c r="L881" s="1" t="s">
        <v>227</v>
      </c>
      <c r="M881" s="1">
        <v>15</v>
      </c>
      <c r="N881" s="1">
        <v>7739.38</v>
      </c>
    </row>
    <row r="882" spans="1:14" x14ac:dyDescent="0.25">
      <c r="A882" s="1">
        <v>1881</v>
      </c>
      <c r="B882" s="1" t="s">
        <v>493</v>
      </c>
      <c r="C882" s="1" t="s">
        <v>219</v>
      </c>
      <c r="D882" s="1" t="s">
        <v>245</v>
      </c>
      <c r="E882" s="1" t="s">
        <v>124</v>
      </c>
      <c r="F882" s="1" t="s">
        <v>215</v>
      </c>
      <c r="G882" s="1" t="s">
        <v>246</v>
      </c>
      <c r="H882" s="1" t="s">
        <v>221</v>
      </c>
      <c r="I882" s="1">
        <v>2</v>
      </c>
      <c r="J882" s="1">
        <v>18177</v>
      </c>
      <c r="K882" s="1">
        <v>32718.6</v>
      </c>
      <c r="L882" s="1" t="s">
        <v>222</v>
      </c>
      <c r="M882" s="1">
        <v>10</v>
      </c>
      <c r="N882" s="1">
        <v>3823.7</v>
      </c>
    </row>
    <row r="883" spans="1:14" x14ac:dyDescent="0.25">
      <c r="A883" s="1">
        <v>1882</v>
      </c>
      <c r="B883" s="1" t="s">
        <v>493</v>
      </c>
      <c r="C883" s="1" t="s">
        <v>223</v>
      </c>
      <c r="D883" s="1" t="s">
        <v>245</v>
      </c>
      <c r="E883" s="1" t="s">
        <v>124</v>
      </c>
      <c r="F883" s="1" t="s">
        <v>230</v>
      </c>
      <c r="G883" s="1" t="s">
        <v>242</v>
      </c>
      <c r="H883" s="1" t="s">
        <v>217</v>
      </c>
      <c r="I883" s="1">
        <v>5</v>
      </c>
      <c r="J883" s="1">
        <v>41656</v>
      </c>
      <c r="K883" s="1">
        <v>197866</v>
      </c>
      <c r="L883" s="1" t="s">
        <v>222</v>
      </c>
      <c r="M883" s="1">
        <v>5</v>
      </c>
      <c r="N883" s="1">
        <v>44832.92</v>
      </c>
    </row>
    <row r="884" spans="1:14" x14ac:dyDescent="0.25">
      <c r="A884" s="1">
        <v>1883</v>
      </c>
      <c r="B884" s="1" t="s">
        <v>494</v>
      </c>
      <c r="C884" s="1" t="s">
        <v>213</v>
      </c>
      <c r="D884" s="1" t="s">
        <v>245</v>
      </c>
      <c r="E884" s="1" t="s">
        <v>124</v>
      </c>
      <c r="F884" s="1" t="s">
        <v>225</v>
      </c>
      <c r="G884" s="1" t="s">
        <v>236</v>
      </c>
      <c r="H884" s="1" t="s">
        <v>128</v>
      </c>
      <c r="I884" s="1">
        <v>4</v>
      </c>
      <c r="J884" s="1">
        <v>10200</v>
      </c>
      <c r="K884" s="1">
        <v>38760</v>
      </c>
      <c r="L884" s="1" t="s">
        <v>240</v>
      </c>
      <c r="M884" s="1">
        <v>5</v>
      </c>
      <c r="N884" s="1">
        <v>4457.82</v>
      </c>
    </row>
    <row r="885" spans="1:14" x14ac:dyDescent="0.25">
      <c r="A885" s="1">
        <v>1884</v>
      </c>
      <c r="B885" s="1" t="s">
        <v>494</v>
      </c>
      <c r="C885" s="1" t="s">
        <v>213</v>
      </c>
      <c r="D885" s="1" t="s">
        <v>245</v>
      </c>
      <c r="E885" s="1" t="s">
        <v>124</v>
      </c>
      <c r="F885" s="1" t="s">
        <v>230</v>
      </c>
      <c r="G885" s="1" t="s">
        <v>231</v>
      </c>
      <c r="H885" s="1" t="s">
        <v>128</v>
      </c>
      <c r="I885" s="1">
        <v>1</v>
      </c>
      <c r="J885" s="1">
        <v>7500</v>
      </c>
      <c r="K885" s="1">
        <v>7500</v>
      </c>
      <c r="L885" s="1" t="s">
        <v>222</v>
      </c>
      <c r="M885" s="1">
        <v>0</v>
      </c>
      <c r="N885" s="1">
        <v>1259.49</v>
      </c>
    </row>
    <row r="886" spans="1:14" x14ac:dyDescent="0.25">
      <c r="A886" s="1">
        <v>1885</v>
      </c>
      <c r="B886" s="1" t="s">
        <v>494</v>
      </c>
      <c r="C886" s="1" t="s">
        <v>219</v>
      </c>
      <c r="D886" s="1" t="s">
        <v>220</v>
      </c>
      <c r="E886" s="1" t="s">
        <v>85</v>
      </c>
      <c r="F886" s="1" t="s">
        <v>225</v>
      </c>
      <c r="G886" s="1" t="s">
        <v>248</v>
      </c>
      <c r="H886" s="1" t="s">
        <v>234</v>
      </c>
      <c r="I886" s="1">
        <v>5</v>
      </c>
      <c r="J886" s="1">
        <v>27588</v>
      </c>
      <c r="K886" s="1">
        <v>137940</v>
      </c>
      <c r="L886" s="1" t="s">
        <v>240</v>
      </c>
      <c r="M886" s="1">
        <v>0</v>
      </c>
      <c r="N886" s="1">
        <v>35071.5</v>
      </c>
    </row>
    <row r="887" spans="1:14" x14ac:dyDescent="0.25">
      <c r="A887" s="1">
        <v>1886</v>
      </c>
      <c r="B887" s="1" t="s">
        <v>494</v>
      </c>
      <c r="C887" s="1" t="s">
        <v>213</v>
      </c>
      <c r="D887" s="1" t="s">
        <v>224</v>
      </c>
      <c r="E887" s="1" t="s">
        <v>233</v>
      </c>
      <c r="F887" s="1" t="s">
        <v>215</v>
      </c>
      <c r="G887" s="1" t="s">
        <v>216</v>
      </c>
      <c r="H887" s="1" t="s">
        <v>234</v>
      </c>
      <c r="I887" s="1">
        <v>5</v>
      </c>
      <c r="J887" s="1">
        <v>34043</v>
      </c>
      <c r="K887" s="1">
        <v>144682.75</v>
      </c>
      <c r="L887" s="1" t="s">
        <v>227</v>
      </c>
      <c r="M887" s="1">
        <v>15</v>
      </c>
      <c r="N887" s="1">
        <v>30630.44</v>
      </c>
    </row>
    <row r="888" spans="1:14" x14ac:dyDescent="0.25">
      <c r="A888" s="1">
        <v>1887</v>
      </c>
      <c r="B888" s="1" t="s">
        <v>495</v>
      </c>
      <c r="C888" s="1" t="s">
        <v>229</v>
      </c>
      <c r="D888" s="1" t="s">
        <v>224</v>
      </c>
      <c r="E888" s="1" t="s">
        <v>233</v>
      </c>
      <c r="F888" s="1" t="s">
        <v>225</v>
      </c>
      <c r="G888" s="1" t="s">
        <v>236</v>
      </c>
      <c r="H888" s="1" t="s">
        <v>234</v>
      </c>
      <c r="I888" s="1">
        <v>4</v>
      </c>
      <c r="J888" s="1">
        <v>26023</v>
      </c>
      <c r="K888" s="1">
        <v>98887.4</v>
      </c>
      <c r="L888" s="1" t="s">
        <v>222</v>
      </c>
      <c r="M888" s="1">
        <v>5</v>
      </c>
      <c r="N888" s="1">
        <v>14774.98</v>
      </c>
    </row>
    <row r="889" spans="1:14" x14ac:dyDescent="0.25">
      <c r="A889" s="1">
        <v>1888</v>
      </c>
      <c r="B889" s="1" t="s">
        <v>495</v>
      </c>
      <c r="C889" s="1" t="s">
        <v>239</v>
      </c>
      <c r="D889" s="1" t="s">
        <v>224</v>
      </c>
      <c r="E889" s="1" t="s">
        <v>233</v>
      </c>
      <c r="F889" s="1" t="s">
        <v>225</v>
      </c>
      <c r="G889" s="1" t="s">
        <v>226</v>
      </c>
      <c r="H889" s="1" t="s">
        <v>221</v>
      </c>
      <c r="I889" s="1">
        <v>5</v>
      </c>
      <c r="J889" s="1">
        <v>8405</v>
      </c>
      <c r="K889" s="1">
        <v>42025</v>
      </c>
      <c r="L889" s="1" t="s">
        <v>227</v>
      </c>
      <c r="M889" s="1">
        <v>0</v>
      </c>
      <c r="N889" s="1">
        <v>10626.53</v>
      </c>
    </row>
    <row r="890" spans="1:14" x14ac:dyDescent="0.25">
      <c r="A890" s="1">
        <v>1889</v>
      </c>
      <c r="B890" s="1" t="s">
        <v>495</v>
      </c>
      <c r="C890" s="1" t="s">
        <v>219</v>
      </c>
      <c r="D890" s="1" t="s">
        <v>232</v>
      </c>
      <c r="E890" s="1" t="s">
        <v>233</v>
      </c>
      <c r="F890" s="1" t="s">
        <v>225</v>
      </c>
      <c r="G890" s="1" t="s">
        <v>236</v>
      </c>
      <c r="H890" s="1" t="s">
        <v>234</v>
      </c>
      <c r="I890" s="1">
        <v>1</v>
      </c>
      <c r="J890" s="1">
        <v>20859</v>
      </c>
      <c r="K890" s="1">
        <v>19816.05</v>
      </c>
      <c r="L890" s="1" t="s">
        <v>227</v>
      </c>
      <c r="M890" s="1">
        <v>5</v>
      </c>
      <c r="N890" s="1">
        <v>4238.91</v>
      </c>
    </row>
    <row r="891" spans="1:14" x14ac:dyDescent="0.25">
      <c r="A891" s="1">
        <v>1890</v>
      </c>
      <c r="B891" s="1" t="s">
        <v>495</v>
      </c>
      <c r="C891" s="1" t="s">
        <v>239</v>
      </c>
      <c r="D891" s="1" t="s">
        <v>232</v>
      </c>
      <c r="E891" s="1" t="s">
        <v>233</v>
      </c>
      <c r="F891" s="1" t="s">
        <v>225</v>
      </c>
      <c r="G891" s="1" t="s">
        <v>236</v>
      </c>
      <c r="H891" s="1" t="s">
        <v>128</v>
      </c>
      <c r="I891" s="1">
        <v>3</v>
      </c>
      <c r="J891" s="1">
        <v>5261</v>
      </c>
      <c r="K891" s="1">
        <v>14993.85</v>
      </c>
      <c r="L891" s="1" t="s">
        <v>218</v>
      </c>
      <c r="M891" s="1">
        <v>5</v>
      </c>
      <c r="N891" s="1">
        <v>3471.04</v>
      </c>
    </row>
    <row r="892" spans="1:14" x14ac:dyDescent="0.25">
      <c r="A892" s="1">
        <v>1891</v>
      </c>
      <c r="B892" s="1" t="s">
        <v>496</v>
      </c>
      <c r="C892" s="1" t="s">
        <v>223</v>
      </c>
      <c r="D892" s="1" t="s">
        <v>245</v>
      </c>
      <c r="E892" s="1" t="s">
        <v>124</v>
      </c>
      <c r="F892" s="1" t="s">
        <v>230</v>
      </c>
      <c r="G892" s="1" t="s">
        <v>242</v>
      </c>
      <c r="H892" s="1" t="s">
        <v>128</v>
      </c>
      <c r="I892" s="1">
        <v>3</v>
      </c>
      <c r="J892" s="1">
        <v>26917</v>
      </c>
      <c r="K892" s="1">
        <v>72675.899999999994</v>
      </c>
      <c r="L892" s="1" t="s">
        <v>218</v>
      </c>
      <c r="M892" s="1">
        <v>10</v>
      </c>
      <c r="N892" s="1">
        <v>8744.7099999999991</v>
      </c>
    </row>
    <row r="893" spans="1:14" x14ac:dyDescent="0.25">
      <c r="A893" s="1">
        <v>1892</v>
      </c>
      <c r="B893" s="1" t="s">
        <v>496</v>
      </c>
      <c r="C893" s="1" t="s">
        <v>219</v>
      </c>
      <c r="D893" s="1" t="s">
        <v>214</v>
      </c>
      <c r="E893" s="1" t="s">
        <v>124</v>
      </c>
      <c r="F893" s="1" t="s">
        <v>215</v>
      </c>
      <c r="G893" s="1" t="s">
        <v>244</v>
      </c>
      <c r="H893" s="1" t="s">
        <v>217</v>
      </c>
      <c r="I893" s="1">
        <v>2</v>
      </c>
      <c r="J893" s="1">
        <v>33777</v>
      </c>
      <c r="K893" s="1">
        <v>57420.9</v>
      </c>
      <c r="L893" s="1" t="s">
        <v>240</v>
      </c>
      <c r="M893" s="1">
        <v>15</v>
      </c>
      <c r="N893" s="1">
        <v>14160.72</v>
      </c>
    </row>
    <row r="894" spans="1:14" x14ac:dyDescent="0.25">
      <c r="A894" s="1">
        <v>1893</v>
      </c>
      <c r="B894" s="1" t="s">
        <v>496</v>
      </c>
      <c r="C894" s="1" t="s">
        <v>239</v>
      </c>
      <c r="D894" s="1" t="s">
        <v>214</v>
      </c>
      <c r="E894" s="1" t="s">
        <v>124</v>
      </c>
      <c r="F894" s="1" t="s">
        <v>230</v>
      </c>
      <c r="G894" s="1" t="s">
        <v>242</v>
      </c>
      <c r="H894" s="1" t="s">
        <v>234</v>
      </c>
      <c r="I894" s="1">
        <v>2</v>
      </c>
      <c r="J894" s="1">
        <v>47895</v>
      </c>
      <c r="K894" s="1">
        <v>95790</v>
      </c>
      <c r="L894" s="1" t="s">
        <v>222</v>
      </c>
      <c r="M894" s="1">
        <v>0</v>
      </c>
      <c r="N894" s="1">
        <v>15533.09</v>
      </c>
    </row>
    <row r="895" spans="1:14" x14ac:dyDescent="0.25">
      <c r="A895" s="1">
        <v>1894</v>
      </c>
      <c r="B895" s="1" t="s">
        <v>496</v>
      </c>
      <c r="C895" s="1" t="s">
        <v>213</v>
      </c>
      <c r="D895" s="1" t="s">
        <v>214</v>
      </c>
      <c r="E895" s="1" t="s">
        <v>124</v>
      </c>
      <c r="F895" s="1" t="s">
        <v>230</v>
      </c>
      <c r="G895" s="1" t="s">
        <v>241</v>
      </c>
      <c r="H895" s="1" t="s">
        <v>234</v>
      </c>
      <c r="I895" s="1">
        <v>3</v>
      </c>
      <c r="J895" s="1">
        <v>43721</v>
      </c>
      <c r="K895" s="1">
        <v>124604.85</v>
      </c>
      <c r="L895" s="1" t="s">
        <v>240</v>
      </c>
      <c r="M895" s="1">
        <v>5</v>
      </c>
      <c r="N895" s="1">
        <v>20619.87</v>
      </c>
    </row>
    <row r="896" spans="1:14" x14ac:dyDescent="0.25">
      <c r="A896" s="1">
        <v>1895</v>
      </c>
      <c r="B896" s="1" t="s">
        <v>497</v>
      </c>
      <c r="C896" s="1" t="s">
        <v>213</v>
      </c>
      <c r="D896" s="1" t="s">
        <v>220</v>
      </c>
      <c r="E896" s="1" t="s">
        <v>85</v>
      </c>
      <c r="F896" s="1" t="s">
        <v>225</v>
      </c>
      <c r="G896" s="1" t="s">
        <v>226</v>
      </c>
      <c r="H896" s="1" t="s">
        <v>234</v>
      </c>
      <c r="I896" s="1">
        <v>4</v>
      </c>
      <c r="J896" s="1">
        <v>19105</v>
      </c>
      <c r="K896" s="1">
        <v>68778</v>
      </c>
      <c r="L896" s="1" t="s">
        <v>240</v>
      </c>
      <c r="M896" s="1">
        <v>10</v>
      </c>
      <c r="N896" s="1">
        <v>12257.54</v>
      </c>
    </row>
    <row r="897" spans="1:14" x14ac:dyDescent="0.25">
      <c r="A897" s="1">
        <v>1896</v>
      </c>
      <c r="B897" s="1" t="s">
        <v>497</v>
      </c>
      <c r="C897" s="1" t="s">
        <v>223</v>
      </c>
      <c r="D897" s="1" t="s">
        <v>232</v>
      </c>
      <c r="E897" s="1" t="s">
        <v>233</v>
      </c>
      <c r="F897" s="1" t="s">
        <v>225</v>
      </c>
      <c r="G897" s="1" t="s">
        <v>248</v>
      </c>
      <c r="H897" s="1" t="s">
        <v>221</v>
      </c>
      <c r="I897" s="1">
        <v>3</v>
      </c>
      <c r="J897" s="1">
        <v>39174</v>
      </c>
      <c r="K897" s="1">
        <v>99893.7</v>
      </c>
      <c r="L897" s="1" t="s">
        <v>218</v>
      </c>
      <c r="M897" s="1">
        <v>15</v>
      </c>
      <c r="N897" s="1">
        <v>27355.66</v>
      </c>
    </row>
    <row r="898" spans="1:14" x14ac:dyDescent="0.25">
      <c r="A898" s="1">
        <v>1897</v>
      </c>
      <c r="B898" s="1" t="s">
        <v>497</v>
      </c>
      <c r="C898" s="1" t="s">
        <v>229</v>
      </c>
      <c r="D898" s="1" t="s">
        <v>220</v>
      </c>
      <c r="E898" s="1" t="s">
        <v>85</v>
      </c>
      <c r="F898" s="1" t="s">
        <v>225</v>
      </c>
      <c r="G898" s="1" t="s">
        <v>248</v>
      </c>
      <c r="H898" s="1" t="s">
        <v>217</v>
      </c>
      <c r="I898" s="1">
        <v>5</v>
      </c>
      <c r="J898" s="1">
        <v>48237</v>
      </c>
      <c r="K898" s="1">
        <v>229125.75</v>
      </c>
      <c r="L898" s="1" t="s">
        <v>240</v>
      </c>
      <c r="M898" s="1">
        <v>5</v>
      </c>
      <c r="N898" s="1">
        <v>52715.360000000001</v>
      </c>
    </row>
    <row r="899" spans="1:14" x14ac:dyDescent="0.25">
      <c r="A899" s="1">
        <v>1898</v>
      </c>
      <c r="B899" s="1" t="s">
        <v>498</v>
      </c>
      <c r="C899" s="1" t="s">
        <v>223</v>
      </c>
      <c r="D899" s="1" t="s">
        <v>214</v>
      </c>
      <c r="E899" s="1" t="s">
        <v>124</v>
      </c>
      <c r="F899" s="1" t="s">
        <v>215</v>
      </c>
      <c r="G899" s="1" t="s">
        <v>246</v>
      </c>
      <c r="H899" s="1" t="s">
        <v>234</v>
      </c>
      <c r="I899" s="1">
        <v>1</v>
      </c>
      <c r="J899" s="1">
        <v>2043</v>
      </c>
      <c r="K899" s="1">
        <v>1838.7</v>
      </c>
      <c r="L899" s="1" t="s">
        <v>227</v>
      </c>
      <c r="M899" s="1">
        <v>10</v>
      </c>
      <c r="N899" s="1">
        <v>406.5</v>
      </c>
    </row>
    <row r="900" spans="1:14" x14ac:dyDescent="0.25">
      <c r="A900" s="1">
        <v>1899</v>
      </c>
      <c r="B900" s="1" t="s">
        <v>498</v>
      </c>
      <c r="C900" s="1" t="s">
        <v>213</v>
      </c>
      <c r="D900" s="1" t="s">
        <v>214</v>
      </c>
      <c r="E900" s="1" t="s">
        <v>124</v>
      </c>
      <c r="F900" s="1" t="s">
        <v>230</v>
      </c>
      <c r="G900" s="1" t="s">
        <v>242</v>
      </c>
      <c r="H900" s="1" t="s">
        <v>217</v>
      </c>
      <c r="I900" s="1">
        <v>5</v>
      </c>
      <c r="J900" s="1">
        <v>1244</v>
      </c>
      <c r="K900" s="1">
        <v>5287</v>
      </c>
      <c r="L900" s="1" t="s">
        <v>227</v>
      </c>
      <c r="M900" s="1">
        <v>15</v>
      </c>
      <c r="N900" s="1">
        <v>1572.23</v>
      </c>
    </row>
    <row r="901" spans="1:14" x14ac:dyDescent="0.25">
      <c r="A901" s="1">
        <v>1900</v>
      </c>
      <c r="B901" s="1" t="s">
        <v>499</v>
      </c>
      <c r="C901" s="1" t="s">
        <v>213</v>
      </c>
      <c r="D901" s="1" t="s">
        <v>232</v>
      </c>
      <c r="E901" s="1" t="s">
        <v>233</v>
      </c>
      <c r="F901" s="1" t="s">
        <v>215</v>
      </c>
      <c r="G901" s="1" t="s">
        <v>244</v>
      </c>
      <c r="H901" s="1" t="s">
        <v>234</v>
      </c>
      <c r="I901" s="1">
        <v>1</v>
      </c>
      <c r="J901" s="1">
        <v>9632</v>
      </c>
      <c r="K901" s="1">
        <v>9632</v>
      </c>
      <c r="L901" s="1" t="s">
        <v>240</v>
      </c>
      <c r="M901" s="1">
        <v>0</v>
      </c>
      <c r="N901" s="1">
        <v>1876.63</v>
      </c>
    </row>
    <row r="902" spans="1:14" x14ac:dyDescent="0.25">
      <c r="A902" s="1">
        <v>1901</v>
      </c>
      <c r="B902" s="1" t="s">
        <v>499</v>
      </c>
      <c r="C902" s="1" t="s">
        <v>239</v>
      </c>
      <c r="D902" s="1" t="s">
        <v>224</v>
      </c>
      <c r="E902" s="1" t="s">
        <v>233</v>
      </c>
      <c r="F902" s="1" t="s">
        <v>230</v>
      </c>
      <c r="G902" s="1" t="s">
        <v>241</v>
      </c>
      <c r="H902" s="1" t="s">
        <v>221</v>
      </c>
      <c r="I902" s="1">
        <v>2</v>
      </c>
      <c r="J902" s="1">
        <v>36589</v>
      </c>
      <c r="K902" s="1">
        <v>73178</v>
      </c>
      <c r="L902" s="1" t="s">
        <v>227</v>
      </c>
      <c r="M902" s="1">
        <v>0</v>
      </c>
      <c r="N902" s="1">
        <v>16898.84</v>
      </c>
    </row>
    <row r="903" spans="1:14" x14ac:dyDescent="0.25">
      <c r="A903" s="1">
        <v>1902</v>
      </c>
      <c r="B903" s="1" t="s">
        <v>499</v>
      </c>
      <c r="C903" s="1" t="s">
        <v>219</v>
      </c>
      <c r="D903" s="1" t="s">
        <v>220</v>
      </c>
      <c r="E903" s="1" t="s">
        <v>85</v>
      </c>
      <c r="F903" s="1" t="s">
        <v>225</v>
      </c>
      <c r="G903" s="1" t="s">
        <v>248</v>
      </c>
      <c r="H903" s="1" t="s">
        <v>234</v>
      </c>
      <c r="I903" s="1">
        <v>4</v>
      </c>
      <c r="J903" s="1">
        <v>43005</v>
      </c>
      <c r="K903" s="1">
        <v>172020</v>
      </c>
      <c r="L903" s="1" t="s">
        <v>222</v>
      </c>
      <c r="M903" s="1">
        <v>0</v>
      </c>
      <c r="N903" s="1">
        <v>50777.32</v>
      </c>
    </row>
    <row r="904" spans="1:14" x14ac:dyDescent="0.25">
      <c r="A904" s="1">
        <v>1903</v>
      </c>
      <c r="B904" s="1" t="s">
        <v>499</v>
      </c>
      <c r="C904" s="1" t="s">
        <v>239</v>
      </c>
      <c r="D904" s="1" t="s">
        <v>232</v>
      </c>
      <c r="E904" s="1" t="s">
        <v>233</v>
      </c>
      <c r="F904" s="1" t="s">
        <v>215</v>
      </c>
      <c r="G904" s="1" t="s">
        <v>246</v>
      </c>
      <c r="H904" s="1" t="s">
        <v>128</v>
      </c>
      <c r="I904" s="1">
        <v>5</v>
      </c>
      <c r="J904" s="1">
        <v>37449</v>
      </c>
      <c r="K904" s="1">
        <v>159158.25</v>
      </c>
      <c r="L904" s="1" t="s">
        <v>218</v>
      </c>
      <c r="M904" s="1">
        <v>15</v>
      </c>
      <c r="N904" s="1">
        <v>20876.41</v>
      </c>
    </row>
    <row r="905" spans="1:14" x14ac:dyDescent="0.25">
      <c r="A905" s="1">
        <v>1904</v>
      </c>
      <c r="B905" s="1" t="s">
        <v>499</v>
      </c>
      <c r="C905" s="1" t="s">
        <v>219</v>
      </c>
      <c r="D905" s="1" t="s">
        <v>214</v>
      </c>
      <c r="E905" s="1" t="s">
        <v>124</v>
      </c>
      <c r="F905" s="1" t="s">
        <v>225</v>
      </c>
      <c r="G905" s="1" t="s">
        <v>248</v>
      </c>
      <c r="H905" s="1" t="s">
        <v>221</v>
      </c>
      <c r="I905" s="1">
        <v>3</v>
      </c>
      <c r="J905" s="1">
        <v>10827</v>
      </c>
      <c r="K905" s="1">
        <v>29232.9</v>
      </c>
      <c r="L905" s="1" t="s">
        <v>218</v>
      </c>
      <c r="M905" s="1">
        <v>10</v>
      </c>
      <c r="N905" s="1">
        <v>7560.53</v>
      </c>
    </row>
    <row r="906" spans="1:14" x14ac:dyDescent="0.25">
      <c r="A906" s="1">
        <v>1905</v>
      </c>
      <c r="B906" s="1" t="s">
        <v>500</v>
      </c>
      <c r="C906" s="1" t="s">
        <v>219</v>
      </c>
      <c r="D906" s="1" t="s">
        <v>220</v>
      </c>
      <c r="E906" s="1" t="s">
        <v>85</v>
      </c>
      <c r="F906" s="1" t="s">
        <v>215</v>
      </c>
      <c r="G906" s="1" t="s">
        <v>244</v>
      </c>
      <c r="H906" s="1" t="s">
        <v>221</v>
      </c>
      <c r="I906" s="1">
        <v>1</v>
      </c>
      <c r="J906" s="1">
        <v>32685</v>
      </c>
      <c r="K906" s="1">
        <v>32685</v>
      </c>
      <c r="L906" s="1" t="s">
        <v>227</v>
      </c>
      <c r="M906" s="1">
        <v>0</v>
      </c>
      <c r="N906" s="1">
        <v>6967.95</v>
      </c>
    </row>
    <row r="907" spans="1:14" x14ac:dyDescent="0.25">
      <c r="A907" s="1">
        <v>1906</v>
      </c>
      <c r="B907" s="1" t="s">
        <v>500</v>
      </c>
      <c r="C907" s="1" t="s">
        <v>223</v>
      </c>
      <c r="D907" s="1" t="s">
        <v>220</v>
      </c>
      <c r="E907" s="1" t="s">
        <v>85</v>
      </c>
      <c r="F907" s="1" t="s">
        <v>215</v>
      </c>
      <c r="G907" s="1" t="s">
        <v>216</v>
      </c>
      <c r="H907" s="1" t="s">
        <v>221</v>
      </c>
      <c r="I907" s="1">
        <v>2</v>
      </c>
      <c r="J907" s="1">
        <v>9311</v>
      </c>
      <c r="K907" s="1">
        <v>16759.8</v>
      </c>
      <c r="L907" s="1" t="s">
        <v>227</v>
      </c>
      <c r="M907" s="1">
        <v>10</v>
      </c>
      <c r="N907" s="1">
        <v>2383.37</v>
      </c>
    </row>
    <row r="908" spans="1:14" x14ac:dyDescent="0.25">
      <c r="A908" s="1">
        <v>1907</v>
      </c>
      <c r="B908" s="1" t="s">
        <v>501</v>
      </c>
      <c r="C908" s="1" t="s">
        <v>223</v>
      </c>
      <c r="D908" s="1" t="s">
        <v>214</v>
      </c>
      <c r="E908" s="1" t="s">
        <v>124</v>
      </c>
      <c r="F908" s="1" t="s">
        <v>215</v>
      </c>
      <c r="G908" s="1" t="s">
        <v>246</v>
      </c>
      <c r="H908" s="1" t="s">
        <v>217</v>
      </c>
      <c r="I908" s="1">
        <v>4</v>
      </c>
      <c r="J908" s="1">
        <v>7755</v>
      </c>
      <c r="K908" s="1">
        <v>31020</v>
      </c>
      <c r="L908" s="1" t="s">
        <v>227</v>
      </c>
      <c r="M908" s="1">
        <v>0</v>
      </c>
      <c r="N908" s="1">
        <v>4198.43</v>
      </c>
    </row>
    <row r="909" spans="1:14" x14ac:dyDescent="0.25">
      <c r="A909" s="1">
        <v>1908</v>
      </c>
      <c r="B909" s="1" t="s">
        <v>501</v>
      </c>
      <c r="C909" s="1" t="s">
        <v>219</v>
      </c>
      <c r="D909" s="1" t="s">
        <v>245</v>
      </c>
      <c r="E909" s="1" t="s">
        <v>124</v>
      </c>
      <c r="F909" s="1" t="s">
        <v>230</v>
      </c>
      <c r="G909" s="1" t="s">
        <v>231</v>
      </c>
      <c r="H909" s="1" t="s">
        <v>234</v>
      </c>
      <c r="I909" s="1">
        <v>3</v>
      </c>
      <c r="J909" s="1">
        <v>3825</v>
      </c>
      <c r="K909" s="1">
        <v>9753.75</v>
      </c>
      <c r="L909" s="1" t="s">
        <v>240</v>
      </c>
      <c r="M909" s="1">
        <v>15</v>
      </c>
      <c r="N909" s="1">
        <v>2190.4899999999998</v>
      </c>
    </row>
    <row r="910" spans="1:14" x14ac:dyDescent="0.25">
      <c r="A910" s="1">
        <v>1909</v>
      </c>
      <c r="B910" s="1" t="s">
        <v>501</v>
      </c>
      <c r="C910" s="1" t="s">
        <v>223</v>
      </c>
      <c r="D910" s="1" t="s">
        <v>220</v>
      </c>
      <c r="E910" s="1" t="s">
        <v>85</v>
      </c>
      <c r="F910" s="1" t="s">
        <v>215</v>
      </c>
      <c r="G910" s="1" t="s">
        <v>244</v>
      </c>
      <c r="H910" s="1" t="s">
        <v>128</v>
      </c>
      <c r="I910" s="1">
        <v>1</v>
      </c>
      <c r="J910" s="1">
        <v>26579</v>
      </c>
      <c r="K910" s="1">
        <v>25250.05</v>
      </c>
      <c r="L910" s="1" t="s">
        <v>218</v>
      </c>
      <c r="M910" s="1">
        <v>5</v>
      </c>
      <c r="N910" s="1">
        <v>3539.37</v>
      </c>
    </row>
    <row r="911" spans="1:14" x14ac:dyDescent="0.25">
      <c r="A911" s="1">
        <v>1910</v>
      </c>
      <c r="B911" s="1" t="s">
        <v>501</v>
      </c>
      <c r="C911" s="1" t="s">
        <v>239</v>
      </c>
      <c r="D911" s="1" t="s">
        <v>224</v>
      </c>
      <c r="E911" s="1" t="s">
        <v>233</v>
      </c>
      <c r="F911" s="1" t="s">
        <v>215</v>
      </c>
      <c r="G911" s="1" t="s">
        <v>246</v>
      </c>
      <c r="H911" s="1" t="s">
        <v>234</v>
      </c>
      <c r="I911" s="1">
        <v>1</v>
      </c>
      <c r="J911" s="1">
        <v>36581</v>
      </c>
      <c r="K911" s="1">
        <v>36581</v>
      </c>
      <c r="L911" s="1" t="s">
        <v>240</v>
      </c>
      <c r="M911" s="1">
        <v>0</v>
      </c>
      <c r="N911" s="1">
        <v>5928.96</v>
      </c>
    </row>
    <row r="912" spans="1:14" x14ac:dyDescent="0.25">
      <c r="A912" s="1">
        <v>1911</v>
      </c>
      <c r="B912" s="1" t="s">
        <v>501</v>
      </c>
      <c r="C912" s="1" t="s">
        <v>223</v>
      </c>
      <c r="D912" s="1" t="s">
        <v>220</v>
      </c>
      <c r="E912" s="1" t="s">
        <v>85</v>
      </c>
      <c r="F912" s="1" t="s">
        <v>215</v>
      </c>
      <c r="G912" s="1" t="s">
        <v>216</v>
      </c>
      <c r="H912" s="1" t="s">
        <v>217</v>
      </c>
      <c r="I912" s="1">
        <v>5</v>
      </c>
      <c r="J912" s="1">
        <v>31508</v>
      </c>
      <c r="K912" s="1">
        <v>141786</v>
      </c>
      <c r="L912" s="1" t="s">
        <v>218</v>
      </c>
      <c r="M912" s="1">
        <v>10</v>
      </c>
      <c r="N912" s="1">
        <v>35471.370000000003</v>
      </c>
    </row>
    <row r="913" spans="1:14" x14ac:dyDescent="0.25">
      <c r="A913" s="1">
        <v>1912</v>
      </c>
      <c r="B913" s="1" t="s">
        <v>502</v>
      </c>
      <c r="C913" s="1" t="s">
        <v>213</v>
      </c>
      <c r="D913" s="1" t="s">
        <v>214</v>
      </c>
      <c r="E913" s="1" t="s">
        <v>124</v>
      </c>
      <c r="F913" s="1" t="s">
        <v>225</v>
      </c>
      <c r="G913" s="1" t="s">
        <v>226</v>
      </c>
      <c r="H913" s="1" t="s">
        <v>128</v>
      </c>
      <c r="I913" s="1">
        <v>5</v>
      </c>
      <c r="J913" s="1">
        <v>42729</v>
      </c>
      <c r="K913" s="1">
        <v>181598.25</v>
      </c>
      <c r="L913" s="1" t="s">
        <v>222</v>
      </c>
      <c r="M913" s="1">
        <v>15</v>
      </c>
      <c r="N913" s="1">
        <v>30834.85</v>
      </c>
    </row>
    <row r="914" spans="1:14" x14ac:dyDescent="0.25">
      <c r="A914" s="1">
        <v>1913</v>
      </c>
      <c r="B914" s="1" t="s">
        <v>502</v>
      </c>
      <c r="C914" s="1" t="s">
        <v>229</v>
      </c>
      <c r="D914" s="1" t="s">
        <v>245</v>
      </c>
      <c r="E914" s="1" t="s">
        <v>124</v>
      </c>
      <c r="F914" s="1" t="s">
        <v>215</v>
      </c>
      <c r="G914" s="1" t="s">
        <v>246</v>
      </c>
      <c r="H914" s="1" t="s">
        <v>217</v>
      </c>
      <c r="I914" s="1">
        <v>1</v>
      </c>
      <c r="J914" s="1">
        <v>19914</v>
      </c>
      <c r="K914" s="1">
        <v>18918.3</v>
      </c>
      <c r="L914" s="1" t="s">
        <v>227</v>
      </c>
      <c r="M914" s="1">
        <v>5</v>
      </c>
      <c r="N914" s="1">
        <v>3330.73</v>
      </c>
    </row>
    <row r="915" spans="1:14" x14ac:dyDescent="0.25">
      <c r="A915" s="1">
        <v>1914</v>
      </c>
      <c r="B915" s="1" t="s">
        <v>502</v>
      </c>
      <c r="C915" s="1" t="s">
        <v>239</v>
      </c>
      <c r="D915" s="1" t="s">
        <v>220</v>
      </c>
      <c r="E915" s="1" t="s">
        <v>85</v>
      </c>
      <c r="F915" s="1" t="s">
        <v>230</v>
      </c>
      <c r="G915" s="1" t="s">
        <v>242</v>
      </c>
      <c r="H915" s="1" t="s">
        <v>128</v>
      </c>
      <c r="I915" s="1">
        <v>3</v>
      </c>
      <c r="J915" s="1">
        <v>16056</v>
      </c>
      <c r="K915" s="1">
        <v>40942.800000000003</v>
      </c>
      <c r="L915" s="1" t="s">
        <v>227</v>
      </c>
      <c r="M915" s="1">
        <v>15</v>
      </c>
      <c r="N915" s="1">
        <v>7340.68</v>
      </c>
    </row>
    <row r="916" spans="1:14" x14ac:dyDescent="0.25">
      <c r="A916" s="1">
        <v>1915</v>
      </c>
      <c r="B916" s="1" t="s">
        <v>502</v>
      </c>
      <c r="C916" s="1" t="s">
        <v>223</v>
      </c>
      <c r="D916" s="1" t="s">
        <v>220</v>
      </c>
      <c r="E916" s="1" t="s">
        <v>85</v>
      </c>
      <c r="F916" s="1" t="s">
        <v>225</v>
      </c>
      <c r="G916" s="1" t="s">
        <v>248</v>
      </c>
      <c r="H916" s="1" t="s">
        <v>217</v>
      </c>
      <c r="I916" s="1">
        <v>5</v>
      </c>
      <c r="J916" s="1">
        <v>28626</v>
      </c>
      <c r="K916" s="1">
        <v>135973.5</v>
      </c>
      <c r="L916" s="1" t="s">
        <v>240</v>
      </c>
      <c r="M916" s="1">
        <v>5</v>
      </c>
      <c r="N916" s="1">
        <v>32145.87</v>
      </c>
    </row>
    <row r="917" spans="1:14" x14ac:dyDescent="0.25">
      <c r="A917" s="1">
        <v>1916</v>
      </c>
      <c r="B917" s="1" t="s">
        <v>503</v>
      </c>
      <c r="C917" s="1" t="s">
        <v>229</v>
      </c>
      <c r="D917" s="1" t="s">
        <v>220</v>
      </c>
      <c r="E917" s="1" t="s">
        <v>85</v>
      </c>
      <c r="F917" s="1" t="s">
        <v>225</v>
      </c>
      <c r="G917" s="1" t="s">
        <v>226</v>
      </c>
      <c r="H917" s="1" t="s">
        <v>234</v>
      </c>
      <c r="I917" s="1">
        <v>1</v>
      </c>
      <c r="J917" s="1">
        <v>26376</v>
      </c>
      <c r="K917" s="1">
        <v>22419.599999999999</v>
      </c>
      <c r="L917" s="1" t="s">
        <v>227</v>
      </c>
      <c r="M917" s="1">
        <v>15</v>
      </c>
      <c r="N917" s="1">
        <v>4495.5</v>
      </c>
    </row>
    <row r="918" spans="1:14" x14ac:dyDescent="0.25">
      <c r="A918" s="1">
        <v>1917</v>
      </c>
      <c r="B918" s="1" t="s">
        <v>503</v>
      </c>
      <c r="C918" s="1" t="s">
        <v>239</v>
      </c>
      <c r="D918" s="1" t="s">
        <v>220</v>
      </c>
      <c r="E918" s="1" t="s">
        <v>85</v>
      </c>
      <c r="F918" s="1" t="s">
        <v>225</v>
      </c>
      <c r="G918" s="1" t="s">
        <v>248</v>
      </c>
      <c r="H918" s="1" t="s">
        <v>217</v>
      </c>
      <c r="I918" s="1">
        <v>2</v>
      </c>
      <c r="J918" s="1">
        <v>12798</v>
      </c>
      <c r="K918" s="1">
        <v>25596</v>
      </c>
      <c r="L918" s="1" t="s">
        <v>240</v>
      </c>
      <c r="M918" s="1">
        <v>0</v>
      </c>
      <c r="N918" s="1">
        <v>5856.04</v>
      </c>
    </row>
    <row r="919" spans="1:14" x14ac:dyDescent="0.25">
      <c r="A919" s="1">
        <v>1918</v>
      </c>
      <c r="B919" s="1" t="s">
        <v>503</v>
      </c>
      <c r="C919" s="1" t="s">
        <v>239</v>
      </c>
      <c r="D919" s="1" t="s">
        <v>214</v>
      </c>
      <c r="E919" s="1" t="s">
        <v>124</v>
      </c>
      <c r="F919" s="1" t="s">
        <v>225</v>
      </c>
      <c r="G919" s="1" t="s">
        <v>236</v>
      </c>
      <c r="H919" s="1" t="s">
        <v>217</v>
      </c>
      <c r="I919" s="1">
        <v>3</v>
      </c>
      <c r="J919" s="1">
        <v>44029</v>
      </c>
      <c r="K919" s="1">
        <v>132087</v>
      </c>
      <c r="L919" s="1" t="s">
        <v>222</v>
      </c>
      <c r="M919" s="1">
        <v>0</v>
      </c>
      <c r="N919" s="1">
        <v>13401.11</v>
      </c>
    </row>
    <row r="920" spans="1:14" x14ac:dyDescent="0.25">
      <c r="A920" s="1">
        <v>1919</v>
      </c>
      <c r="B920" s="1" t="s">
        <v>503</v>
      </c>
      <c r="C920" s="1" t="s">
        <v>229</v>
      </c>
      <c r="D920" s="1" t="s">
        <v>220</v>
      </c>
      <c r="E920" s="1" t="s">
        <v>85</v>
      </c>
      <c r="F920" s="1" t="s">
        <v>225</v>
      </c>
      <c r="G920" s="1" t="s">
        <v>226</v>
      </c>
      <c r="H920" s="1" t="s">
        <v>217</v>
      </c>
      <c r="I920" s="1">
        <v>3</v>
      </c>
      <c r="J920" s="1">
        <v>42274</v>
      </c>
      <c r="K920" s="1">
        <v>114139.8</v>
      </c>
      <c r="L920" s="1" t="s">
        <v>222</v>
      </c>
      <c r="M920" s="1">
        <v>10</v>
      </c>
      <c r="N920" s="1">
        <v>17592.68</v>
      </c>
    </row>
    <row r="921" spans="1:14" x14ac:dyDescent="0.25">
      <c r="A921" s="1">
        <v>1920</v>
      </c>
      <c r="B921" s="1" t="s">
        <v>503</v>
      </c>
      <c r="C921" s="1" t="s">
        <v>219</v>
      </c>
      <c r="D921" s="1" t="s">
        <v>224</v>
      </c>
      <c r="E921" s="1" t="s">
        <v>233</v>
      </c>
      <c r="F921" s="1" t="s">
        <v>230</v>
      </c>
      <c r="G921" s="1" t="s">
        <v>241</v>
      </c>
      <c r="H921" s="1" t="s">
        <v>128</v>
      </c>
      <c r="I921" s="1">
        <v>5</v>
      </c>
      <c r="J921" s="1">
        <v>47012</v>
      </c>
      <c r="K921" s="1">
        <v>211554</v>
      </c>
      <c r="L921" s="1" t="s">
        <v>240</v>
      </c>
      <c r="M921" s="1">
        <v>10</v>
      </c>
      <c r="N921" s="1">
        <v>37615.300000000003</v>
      </c>
    </row>
    <row r="922" spans="1:14" x14ac:dyDescent="0.25">
      <c r="A922" s="1">
        <v>1921</v>
      </c>
      <c r="B922" s="1" t="s">
        <v>504</v>
      </c>
      <c r="C922" s="1" t="s">
        <v>219</v>
      </c>
      <c r="D922" s="1" t="s">
        <v>232</v>
      </c>
      <c r="E922" s="1" t="s">
        <v>233</v>
      </c>
      <c r="F922" s="1" t="s">
        <v>230</v>
      </c>
      <c r="G922" s="1" t="s">
        <v>242</v>
      </c>
      <c r="H922" s="1" t="s">
        <v>128</v>
      </c>
      <c r="I922" s="1">
        <v>5</v>
      </c>
      <c r="J922" s="1">
        <v>23141</v>
      </c>
      <c r="K922" s="1">
        <v>109919.75</v>
      </c>
      <c r="L922" s="1" t="s">
        <v>218</v>
      </c>
      <c r="M922" s="1">
        <v>5</v>
      </c>
      <c r="N922" s="1">
        <v>11440.48</v>
      </c>
    </row>
    <row r="923" spans="1:14" x14ac:dyDescent="0.25">
      <c r="A923" s="1">
        <v>1922</v>
      </c>
      <c r="B923" s="1" t="s">
        <v>504</v>
      </c>
      <c r="C923" s="1" t="s">
        <v>213</v>
      </c>
      <c r="D923" s="1" t="s">
        <v>245</v>
      </c>
      <c r="E923" s="1" t="s">
        <v>124</v>
      </c>
      <c r="F923" s="1" t="s">
        <v>215</v>
      </c>
      <c r="G923" s="1" t="s">
        <v>244</v>
      </c>
      <c r="H923" s="1" t="s">
        <v>234</v>
      </c>
      <c r="I923" s="1">
        <v>4</v>
      </c>
      <c r="J923" s="1">
        <v>47796</v>
      </c>
      <c r="K923" s="1">
        <v>191184</v>
      </c>
      <c r="L923" s="1" t="s">
        <v>227</v>
      </c>
      <c r="M923" s="1">
        <v>0</v>
      </c>
      <c r="N923" s="1">
        <v>33584.18</v>
      </c>
    </row>
    <row r="924" spans="1:14" x14ac:dyDescent="0.25">
      <c r="A924" s="1">
        <v>1923</v>
      </c>
      <c r="B924" s="1" t="s">
        <v>504</v>
      </c>
      <c r="C924" s="1" t="s">
        <v>219</v>
      </c>
      <c r="D924" s="1" t="s">
        <v>245</v>
      </c>
      <c r="E924" s="1" t="s">
        <v>124</v>
      </c>
      <c r="F924" s="1" t="s">
        <v>230</v>
      </c>
      <c r="G924" s="1" t="s">
        <v>241</v>
      </c>
      <c r="H924" s="1" t="s">
        <v>217</v>
      </c>
      <c r="I924" s="1">
        <v>4</v>
      </c>
      <c r="J924" s="1">
        <v>13458</v>
      </c>
      <c r="K924" s="1">
        <v>53832</v>
      </c>
      <c r="L924" s="1" t="s">
        <v>218</v>
      </c>
      <c r="M924" s="1">
        <v>0</v>
      </c>
      <c r="N924" s="1">
        <v>9052.25</v>
      </c>
    </row>
    <row r="925" spans="1:14" x14ac:dyDescent="0.25">
      <c r="A925" s="1">
        <v>1924</v>
      </c>
      <c r="B925" s="1" t="s">
        <v>505</v>
      </c>
      <c r="C925" s="1" t="s">
        <v>219</v>
      </c>
      <c r="D925" s="1" t="s">
        <v>224</v>
      </c>
      <c r="E925" s="1" t="s">
        <v>233</v>
      </c>
      <c r="F925" s="1" t="s">
        <v>215</v>
      </c>
      <c r="G925" s="1" t="s">
        <v>216</v>
      </c>
      <c r="H925" s="1" t="s">
        <v>221</v>
      </c>
      <c r="I925" s="1">
        <v>5</v>
      </c>
      <c r="J925" s="1">
        <v>48275</v>
      </c>
      <c r="K925" s="1">
        <v>217237.5</v>
      </c>
      <c r="L925" s="1" t="s">
        <v>222</v>
      </c>
      <c r="M925" s="1">
        <v>10</v>
      </c>
      <c r="N925" s="1">
        <v>55853.71</v>
      </c>
    </row>
    <row r="926" spans="1:14" x14ac:dyDescent="0.25">
      <c r="A926" s="1">
        <v>1925</v>
      </c>
      <c r="B926" s="1" t="s">
        <v>505</v>
      </c>
      <c r="C926" s="1" t="s">
        <v>239</v>
      </c>
      <c r="D926" s="1" t="s">
        <v>224</v>
      </c>
      <c r="E926" s="1" t="s">
        <v>233</v>
      </c>
      <c r="F926" s="1" t="s">
        <v>230</v>
      </c>
      <c r="G926" s="1" t="s">
        <v>231</v>
      </c>
      <c r="H926" s="1" t="s">
        <v>128</v>
      </c>
      <c r="I926" s="1">
        <v>3</v>
      </c>
      <c r="J926" s="1">
        <v>25140</v>
      </c>
      <c r="K926" s="1">
        <v>71649</v>
      </c>
      <c r="L926" s="1" t="s">
        <v>240</v>
      </c>
      <c r="M926" s="1">
        <v>5</v>
      </c>
      <c r="N926" s="1">
        <v>18859.509999999998</v>
      </c>
    </row>
    <row r="927" spans="1:14" x14ac:dyDescent="0.25">
      <c r="A927" s="1">
        <v>1926</v>
      </c>
      <c r="B927" s="1" t="s">
        <v>505</v>
      </c>
      <c r="C927" s="1" t="s">
        <v>213</v>
      </c>
      <c r="D927" s="1" t="s">
        <v>224</v>
      </c>
      <c r="E927" s="1" t="s">
        <v>233</v>
      </c>
      <c r="F927" s="1" t="s">
        <v>215</v>
      </c>
      <c r="G927" s="1" t="s">
        <v>216</v>
      </c>
      <c r="H927" s="1" t="s">
        <v>234</v>
      </c>
      <c r="I927" s="1">
        <v>1</v>
      </c>
      <c r="J927" s="1">
        <v>28177</v>
      </c>
      <c r="K927" s="1">
        <v>23950.45</v>
      </c>
      <c r="L927" s="1" t="s">
        <v>222</v>
      </c>
      <c r="M927" s="1">
        <v>15</v>
      </c>
      <c r="N927" s="1">
        <v>6410.05</v>
      </c>
    </row>
    <row r="928" spans="1:14" x14ac:dyDescent="0.25">
      <c r="A928" s="1">
        <v>1927</v>
      </c>
      <c r="B928" s="1" t="s">
        <v>505</v>
      </c>
      <c r="C928" s="1" t="s">
        <v>219</v>
      </c>
      <c r="D928" s="1" t="s">
        <v>214</v>
      </c>
      <c r="E928" s="1" t="s">
        <v>124</v>
      </c>
      <c r="F928" s="1" t="s">
        <v>215</v>
      </c>
      <c r="G928" s="1" t="s">
        <v>246</v>
      </c>
      <c r="H928" s="1" t="s">
        <v>128</v>
      </c>
      <c r="I928" s="1">
        <v>4</v>
      </c>
      <c r="J928" s="1">
        <v>3008</v>
      </c>
      <c r="K928" s="1">
        <v>10828.8</v>
      </c>
      <c r="L928" s="1" t="s">
        <v>218</v>
      </c>
      <c r="M928" s="1">
        <v>10</v>
      </c>
      <c r="N928" s="1">
        <v>2391.16</v>
      </c>
    </row>
    <row r="929" spans="1:14" x14ac:dyDescent="0.25">
      <c r="A929" s="1">
        <v>1928</v>
      </c>
      <c r="B929" s="1" t="s">
        <v>506</v>
      </c>
      <c r="C929" s="1" t="s">
        <v>229</v>
      </c>
      <c r="D929" s="1" t="s">
        <v>220</v>
      </c>
      <c r="E929" s="1" t="s">
        <v>85</v>
      </c>
      <c r="F929" s="1" t="s">
        <v>230</v>
      </c>
      <c r="G929" s="1" t="s">
        <v>242</v>
      </c>
      <c r="H929" s="1" t="s">
        <v>128</v>
      </c>
      <c r="I929" s="1">
        <v>3</v>
      </c>
      <c r="J929" s="1">
        <v>47373</v>
      </c>
      <c r="K929" s="1">
        <v>135013.04999999999</v>
      </c>
      <c r="L929" s="1" t="s">
        <v>222</v>
      </c>
      <c r="M929" s="1">
        <v>5</v>
      </c>
      <c r="N929" s="1">
        <v>13871.4</v>
      </c>
    </row>
    <row r="930" spans="1:14" x14ac:dyDescent="0.25">
      <c r="A930" s="1">
        <v>1929</v>
      </c>
      <c r="B930" s="1" t="s">
        <v>506</v>
      </c>
      <c r="C930" s="1" t="s">
        <v>229</v>
      </c>
      <c r="D930" s="1" t="s">
        <v>224</v>
      </c>
      <c r="E930" s="1" t="s">
        <v>233</v>
      </c>
      <c r="F930" s="1" t="s">
        <v>230</v>
      </c>
      <c r="G930" s="1" t="s">
        <v>242</v>
      </c>
      <c r="H930" s="1" t="s">
        <v>128</v>
      </c>
      <c r="I930" s="1">
        <v>4</v>
      </c>
      <c r="J930" s="1">
        <v>7706</v>
      </c>
      <c r="K930" s="1">
        <v>27741.599999999999</v>
      </c>
      <c r="L930" s="1" t="s">
        <v>218</v>
      </c>
      <c r="M930" s="1">
        <v>10</v>
      </c>
      <c r="N930" s="1">
        <v>5889.61</v>
      </c>
    </row>
    <row r="931" spans="1:14" x14ac:dyDescent="0.25">
      <c r="A931" s="1">
        <v>1930</v>
      </c>
      <c r="B931" s="1" t="s">
        <v>507</v>
      </c>
      <c r="C931" s="1" t="s">
        <v>239</v>
      </c>
      <c r="D931" s="1" t="s">
        <v>224</v>
      </c>
      <c r="E931" s="1" t="s">
        <v>233</v>
      </c>
      <c r="F931" s="1" t="s">
        <v>215</v>
      </c>
      <c r="G931" s="1" t="s">
        <v>216</v>
      </c>
      <c r="H931" s="1" t="s">
        <v>221</v>
      </c>
      <c r="I931" s="1">
        <v>2</v>
      </c>
      <c r="J931" s="1">
        <v>40955</v>
      </c>
      <c r="K931" s="1">
        <v>69623.5</v>
      </c>
      <c r="L931" s="1" t="s">
        <v>218</v>
      </c>
      <c r="M931" s="1">
        <v>15</v>
      </c>
      <c r="N931" s="1">
        <v>16847.13</v>
      </c>
    </row>
    <row r="932" spans="1:14" x14ac:dyDescent="0.25">
      <c r="A932" s="1">
        <v>1931</v>
      </c>
      <c r="B932" s="1" t="s">
        <v>507</v>
      </c>
      <c r="C932" s="1" t="s">
        <v>223</v>
      </c>
      <c r="D932" s="1" t="s">
        <v>214</v>
      </c>
      <c r="E932" s="1" t="s">
        <v>124</v>
      </c>
      <c r="F932" s="1" t="s">
        <v>225</v>
      </c>
      <c r="G932" s="1" t="s">
        <v>236</v>
      </c>
      <c r="H932" s="1" t="s">
        <v>234</v>
      </c>
      <c r="I932" s="1">
        <v>2</v>
      </c>
      <c r="J932" s="1">
        <v>14887</v>
      </c>
      <c r="K932" s="1">
        <v>29774</v>
      </c>
      <c r="L932" s="1" t="s">
        <v>222</v>
      </c>
      <c r="M932" s="1">
        <v>0</v>
      </c>
      <c r="N932" s="1">
        <v>3671.15</v>
      </c>
    </row>
    <row r="933" spans="1:14" x14ac:dyDescent="0.25">
      <c r="A933" s="1">
        <v>1932</v>
      </c>
      <c r="B933" s="1" t="s">
        <v>507</v>
      </c>
      <c r="C933" s="1" t="s">
        <v>219</v>
      </c>
      <c r="D933" s="1" t="s">
        <v>232</v>
      </c>
      <c r="E933" s="1" t="s">
        <v>233</v>
      </c>
      <c r="F933" s="1" t="s">
        <v>230</v>
      </c>
      <c r="G933" s="1" t="s">
        <v>241</v>
      </c>
      <c r="H933" s="1" t="s">
        <v>217</v>
      </c>
      <c r="I933" s="1">
        <v>1</v>
      </c>
      <c r="J933" s="1">
        <v>29691</v>
      </c>
      <c r="K933" s="1">
        <v>29691</v>
      </c>
      <c r="L933" s="1" t="s">
        <v>222</v>
      </c>
      <c r="M933" s="1">
        <v>0</v>
      </c>
      <c r="N933" s="1">
        <v>5258.5</v>
      </c>
    </row>
    <row r="934" spans="1:14" x14ac:dyDescent="0.25">
      <c r="A934" s="1">
        <v>1933</v>
      </c>
      <c r="B934" s="1" t="s">
        <v>507</v>
      </c>
      <c r="C934" s="1" t="s">
        <v>223</v>
      </c>
      <c r="D934" s="1" t="s">
        <v>245</v>
      </c>
      <c r="E934" s="1" t="s">
        <v>124</v>
      </c>
      <c r="F934" s="1" t="s">
        <v>225</v>
      </c>
      <c r="G934" s="1" t="s">
        <v>248</v>
      </c>
      <c r="H934" s="1" t="s">
        <v>234</v>
      </c>
      <c r="I934" s="1">
        <v>1</v>
      </c>
      <c r="J934" s="1">
        <v>2051</v>
      </c>
      <c r="K934" s="1">
        <v>2051</v>
      </c>
      <c r="L934" s="1" t="s">
        <v>218</v>
      </c>
      <c r="M934" s="1">
        <v>0</v>
      </c>
      <c r="N934" s="1">
        <v>210.78</v>
      </c>
    </row>
    <row r="935" spans="1:14" x14ac:dyDescent="0.25">
      <c r="A935" s="1">
        <v>1934</v>
      </c>
      <c r="B935" s="1" t="s">
        <v>507</v>
      </c>
      <c r="C935" s="1" t="s">
        <v>223</v>
      </c>
      <c r="D935" s="1" t="s">
        <v>232</v>
      </c>
      <c r="E935" s="1" t="s">
        <v>233</v>
      </c>
      <c r="F935" s="1" t="s">
        <v>225</v>
      </c>
      <c r="G935" s="1" t="s">
        <v>236</v>
      </c>
      <c r="H935" s="1" t="s">
        <v>221</v>
      </c>
      <c r="I935" s="1">
        <v>1</v>
      </c>
      <c r="J935" s="1">
        <v>44554</v>
      </c>
      <c r="K935" s="1">
        <v>40098.6</v>
      </c>
      <c r="L935" s="1" t="s">
        <v>218</v>
      </c>
      <c r="M935" s="1">
        <v>10</v>
      </c>
      <c r="N935" s="1">
        <v>5632.61</v>
      </c>
    </row>
    <row r="936" spans="1:14" x14ac:dyDescent="0.25">
      <c r="A936" s="1">
        <v>1935</v>
      </c>
      <c r="B936" s="1" t="s">
        <v>508</v>
      </c>
      <c r="C936" s="1" t="s">
        <v>213</v>
      </c>
      <c r="D936" s="1" t="s">
        <v>224</v>
      </c>
      <c r="E936" s="1" t="s">
        <v>233</v>
      </c>
      <c r="F936" s="1" t="s">
        <v>225</v>
      </c>
      <c r="G936" s="1" t="s">
        <v>226</v>
      </c>
      <c r="H936" s="1" t="s">
        <v>217</v>
      </c>
      <c r="I936" s="1">
        <v>4</v>
      </c>
      <c r="J936" s="1">
        <v>5190</v>
      </c>
      <c r="K936" s="1">
        <v>17646</v>
      </c>
      <c r="L936" s="1" t="s">
        <v>227</v>
      </c>
      <c r="M936" s="1">
        <v>15</v>
      </c>
      <c r="N936" s="1">
        <v>5195.3900000000003</v>
      </c>
    </row>
    <row r="937" spans="1:14" x14ac:dyDescent="0.25">
      <c r="A937" s="1">
        <v>1936</v>
      </c>
      <c r="B937" s="1" t="s">
        <v>508</v>
      </c>
      <c r="C937" s="1" t="s">
        <v>219</v>
      </c>
      <c r="D937" s="1" t="s">
        <v>232</v>
      </c>
      <c r="E937" s="1" t="s">
        <v>233</v>
      </c>
      <c r="F937" s="1" t="s">
        <v>230</v>
      </c>
      <c r="G937" s="1" t="s">
        <v>241</v>
      </c>
      <c r="H937" s="1" t="s">
        <v>234</v>
      </c>
      <c r="I937" s="1">
        <v>3</v>
      </c>
      <c r="J937" s="1">
        <v>29280</v>
      </c>
      <c r="K937" s="1">
        <v>79056</v>
      </c>
      <c r="L937" s="1" t="s">
        <v>240</v>
      </c>
      <c r="M937" s="1">
        <v>10</v>
      </c>
      <c r="N937" s="1">
        <v>15889.63</v>
      </c>
    </row>
    <row r="938" spans="1:14" x14ac:dyDescent="0.25">
      <c r="A938" s="1">
        <v>1937</v>
      </c>
      <c r="B938" s="1" t="s">
        <v>509</v>
      </c>
      <c r="C938" s="1" t="s">
        <v>219</v>
      </c>
      <c r="D938" s="1" t="s">
        <v>220</v>
      </c>
      <c r="E938" s="1" t="s">
        <v>85</v>
      </c>
      <c r="F938" s="1" t="s">
        <v>215</v>
      </c>
      <c r="G938" s="1" t="s">
        <v>216</v>
      </c>
      <c r="H938" s="1" t="s">
        <v>221</v>
      </c>
      <c r="I938" s="1">
        <v>5</v>
      </c>
      <c r="J938" s="1">
        <v>4471</v>
      </c>
      <c r="K938" s="1">
        <v>21237.25</v>
      </c>
      <c r="L938" s="1" t="s">
        <v>222</v>
      </c>
      <c r="M938" s="1">
        <v>5</v>
      </c>
      <c r="N938" s="1">
        <v>5378.18</v>
      </c>
    </row>
    <row r="939" spans="1:14" x14ac:dyDescent="0.25">
      <c r="A939" s="1">
        <v>1938</v>
      </c>
      <c r="B939" s="1" t="s">
        <v>509</v>
      </c>
      <c r="C939" s="1" t="s">
        <v>239</v>
      </c>
      <c r="D939" s="1" t="s">
        <v>220</v>
      </c>
      <c r="E939" s="1" t="s">
        <v>85</v>
      </c>
      <c r="F939" s="1" t="s">
        <v>215</v>
      </c>
      <c r="G939" s="1" t="s">
        <v>216</v>
      </c>
      <c r="H939" s="1" t="s">
        <v>128</v>
      </c>
      <c r="I939" s="1">
        <v>2</v>
      </c>
      <c r="J939" s="1">
        <v>44838</v>
      </c>
      <c r="K939" s="1">
        <v>89676</v>
      </c>
      <c r="L939" s="1" t="s">
        <v>222</v>
      </c>
      <c r="M939" s="1">
        <v>0</v>
      </c>
      <c r="N939" s="1">
        <v>22179.08</v>
      </c>
    </row>
    <row r="940" spans="1:14" x14ac:dyDescent="0.25">
      <c r="A940" s="1">
        <v>1939</v>
      </c>
      <c r="B940" s="1" t="s">
        <v>510</v>
      </c>
      <c r="C940" s="1" t="s">
        <v>239</v>
      </c>
      <c r="D940" s="1" t="s">
        <v>245</v>
      </c>
      <c r="E940" s="1" t="s">
        <v>124</v>
      </c>
      <c r="F940" s="1" t="s">
        <v>225</v>
      </c>
      <c r="G940" s="1" t="s">
        <v>248</v>
      </c>
      <c r="H940" s="1" t="s">
        <v>234</v>
      </c>
      <c r="I940" s="1">
        <v>1</v>
      </c>
      <c r="J940" s="1">
        <v>49337</v>
      </c>
      <c r="K940" s="1">
        <v>49337</v>
      </c>
      <c r="L940" s="1" t="s">
        <v>240</v>
      </c>
      <c r="M940" s="1">
        <v>0</v>
      </c>
      <c r="N940" s="1">
        <v>5386.7</v>
      </c>
    </row>
    <row r="941" spans="1:14" x14ac:dyDescent="0.25">
      <c r="A941" s="1">
        <v>1940</v>
      </c>
      <c r="B941" s="1" t="s">
        <v>510</v>
      </c>
      <c r="C941" s="1" t="s">
        <v>223</v>
      </c>
      <c r="D941" s="1" t="s">
        <v>245</v>
      </c>
      <c r="E941" s="1" t="s">
        <v>124</v>
      </c>
      <c r="F941" s="1" t="s">
        <v>230</v>
      </c>
      <c r="G941" s="1" t="s">
        <v>231</v>
      </c>
      <c r="H941" s="1" t="s">
        <v>217</v>
      </c>
      <c r="I941" s="1">
        <v>4</v>
      </c>
      <c r="J941" s="1">
        <v>48378</v>
      </c>
      <c r="K941" s="1">
        <v>164485.20000000001</v>
      </c>
      <c r="L941" s="1" t="s">
        <v>227</v>
      </c>
      <c r="M941" s="1">
        <v>15</v>
      </c>
      <c r="N941" s="1">
        <v>39417.120000000003</v>
      </c>
    </row>
    <row r="942" spans="1:14" x14ac:dyDescent="0.25">
      <c r="A942" s="1">
        <v>1941</v>
      </c>
      <c r="B942" s="1" t="s">
        <v>510</v>
      </c>
      <c r="C942" s="1" t="s">
        <v>213</v>
      </c>
      <c r="D942" s="1" t="s">
        <v>220</v>
      </c>
      <c r="E942" s="1" t="s">
        <v>85</v>
      </c>
      <c r="F942" s="1" t="s">
        <v>230</v>
      </c>
      <c r="G942" s="1" t="s">
        <v>242</v>
      </c>
      <c r="H942" s="1" t="s">
        <v>217</v>
      </c>
      <c r="I942" s="1">
        <v>5</v>
      </c>
      <c r="J942" s="1">
        <v>26187</v>
      </c>
      <c r="K942" s="1">
        <v>117841.5</v>
      </c>
      <c r="L942" s="1" t="s">
        <v>227</v>
      </c>
      <c r="M942" s="1">
        <v>10</v>
      </c>
      <c r="N942" s="1">
        <v>15962.1</v>
      </c>
    </row>
    <row r="943" spans="1:14" x14ac:dyDescent="0.25">
      <c r="A943" s="1">
        <v>1942</v>
      </c>
      <c r="B943" s="1" t="s">
        <v>510</v>
      </c>
      <c r="C943" s="1" t="s">
        <v>213</v>
      </c>
      <c r="D943" s="1" t="s">
        <v>232</v>
      </c>
      <c r="E943" s="1" t="s">
        <v>233</v>
      </c>
      <c r="F943" s="1" t="s">
        <v>230</v>
      </c>
      <c r="G943" s="1" t="s">
        <v>242</v>
      </c>
      <c r="H943" s="1" t="s">
        <v>234</v>
      </c>
      <c r="I943" s="1">
        <v>2</v>
      </c>
      <c r="J943" s="1">
        <v>1964</v>
      </c>
      <c r="K943" s="1">
        <v>3928</v>
      </c>
      <c r="L943" s="1" t="s">
        <v>240</v>
      </c>
      <c r="M943" s="1">
        <v>0</v>
      </c>
      <c r="N943" s="1">
        <v>589.14</v>
      </c>
    </row>
    <row r="944" spans="1:14" x14ac:dyDescent="0.25">
      <c r="A944" s="1">
        <v>1943</v>
      </c>
      <c r="B944" s="1" t="s">
        <v>510</v>
      </c>
      <c r="C944" s="1" t="s">
        <v>219</v>
      </c>
      <c r="D944" s="1" t="s">
        <v>232</v>
      </c>
      <c r="E944" s="1" t="s">
        <v>233</v>
      </c>
      <c r="F944" s="1" t="s">
        <v>230</v>
      </c>
      <c r="G944" s="1" t="s">
        <v>231</v>
      </c>
      <c r="H944" s="1" t="s">
        <v>128</v>
      </c>
      <c r="I944" s="1">
        <v>2</v>
      </c>
      <c r="J944" s="1">
        <v>14831</v>
      </c>
      <c r="K944" s="1">
        <v>29662</v>
      </c>
      <c r="L944" s="1" t="s">
        <v>222</v>
      </c>
      <c r="M944" s="1">
        <v>0</v>
      </c>
      <c r="N944" s="1">
        <v>4379.17</v>
      </c>
    </row>
    <row r="945" spans="1:14" x14ac:dyDescent="0.25">
      <c r="A945" s="1">
        <v>1944</v>
      </c>
      <c r="B945" s="1" t="s">
        <v>511</v>
      </c>
      <c r="C945" s="1" t="s">
        <v>239</v>
      </c>
      <c r="D945" s="1" t="s">
        <v>224</v>
      </c>
      <c r="E945" s="1" t="s">
        <v>233</v>
      </c>
      <c r="F945" s="1" t="s">
        <v>215</v>
      </c>
      <c r="G945" s="1" t="s">
        <v>244</v>
      </c>
      <c r="H945" s="1" t="s">
        <v>221</v>
      </c>
      <c r="I945" s="1">
        <v>2</v>
      </c>
      <c r="J945" s="1">
        <v>3567</v>
      </c>
      <c r="K945" s="1">
        <v>6063.9</v>
      </c>
      <c r="L945" s="1" t="s">
        <v>222</v>
      </c>
      <c r="M945" s="1">
        <v>15</v>
      </c>
      <c r="N945" s="1">
        <v>936.85</v>
      </c>
    </row>
    <row r="946" spans="1:14" x14ac:dyDescent="0.25">
      <c r="A946" s="1">
        <v>1945</v>
      </c>
      <c r="B946" s="1" t="s">
        <v>511</v>
      </c>
      <c r="C946" s="1" t="s">
        <v>239</v>
      </c>
      <c r="D946" s="1" t="s">
        <v>214</v>
      </c>
      <c r="E946" s="1" t="s">
        <v>124</v>
      </c>
      <c r="F946" s="1" t="s">
        <v>215</v>
      </c>
      <c r="G946" s="1" t="s">
        <v>216</v>
      </c>
      <c r="H946" s="1" t="s">
        <v>221</v>
      </c>
      <c r="I946" s="1">
        <v>3</v>
      </c>
      <c r="J946" s="1">
        <v>46017</v>
      </c>
      <c r="K946" s="1">
        <v>138051</v>
      </c>
      <c r="L946" s="1" t="s">
        <v>227</v>
      </c>
      <c r="M946" s="1">
        <v>0</v>
      </c>
      <c r="N946" s="1">
        <v>14869.14</v>
      </c>
    </row>
    <row r="947" spans="1:14" x14ac:dyDescent="0.25">
      <c r="A947" s="1">
        <v>1946</v>
      </c>
      <c r="B947" s="1" t="s">
        <v>511</v>
      </c>
      <c r="C947" s="1" t="s">
        <v>239</v>
      </c>
      <c r="D947" s="1" t="s">
        <v>232</v>
      </c>
      <c r="E947" s="1" t="s">
        <v>233</v>
      </c>
      <c r="F947" s="1" t="s">
        <v>230</v>
      </c>
      <c r="G947" s="1" t="s">
        <v>241</v>
      </c>
      <c r="H947" s="1" t="s">
        <v>221</v>
      </c>
      <c r="I947" s="1">
        <v>3</v>
      </c>
      <c r="J947" s="1">
        <v>6838</v>
      </c>
      <c r="K947" s="1">
        <v>19488.3</v>
      </c>
      <c r="L947" s="1" t="s">
        <v>227</v>
      </c>
      <c r="M947" s="1">
        <v>5</v>
      </c>
      <c r="N947" s="1">
        <v>3356.07</v>
      </c>
    </row>
    <row r="948" spans="1:14" x14ac:dyDescent="0.25">
      <c r="A948" s="1">
        <v>1947</v>
      </c>
      <c r="B948" s="1" t="s">
        <v>512</v>
      </c>
      <c r="C948" s="1" t="s">
        <v>223</v>
      </c>
      <c r="D948" s="1" t="s">
        <v>245</v>
      </c>
      <c r="E948" s="1" t="s">
        <v>124</v>
      </c>
      <c r="F948" s="1" t="s">
        <v>215</v>
      </c>
      <c r="G948" s="1" t="s">
        <v>244</v>
      </c>
      <c r="H948" s="1" t="s">
        <v>128</v>
      </c>
      <c r="I948" s="1">
        <v>1</v>
      </c>
      <c r="J948" s="1">
        <v>23510</v>
      </c>
      <c r="K948" s="1">
        <v>21159</v>
      </c>
      <c r="L948" s="1" t="s">
        <v>222</v>
      </c>
      <c r="M948" s="1">
        <v>10</v>
      </c>
      <c r="N948" s="1">
        <v>5842.83</v>
      </c>
    </row>
    <row r="949" spans="1:14" x14ac:dyDescent="0.25">
      <c r="A949" s="1">
        <v>1948</v>
      </c>
      <c r="B949" s="1" t="s">
        <v>512</v>
      </c>
      <c r="C949" s="1" t="s">
        <v>229</v>
      </c>
      <c r="D949" s="1" t="s">
        <v>224</v>
      </c>
      <c r="E949" s="1" t="s">
        <v>233</v>
      </c>
      <c r="F949" s="1" t="s">
        <v>225</v>
      </c>
      <c r="G949" s="1" t="s">
        <v>236</v>
      </c>
      <c r="H949" s="1" t="s">
        <v>128</v>
      </c>
      <c r="I949" s="1">
        <v>4</v>
      </c>
      <c r="J949" s="1">
        <v>3677</v>
      </c>
      <c r="K949" s="1">
        <v>14708</v>
      </c>
      <c r="L949" s="1" t="s">
        <v>227</v>
      </c>
      <c r="M949" s="1">
        <v>0</v>
      </c>
      <c r="N949" s="1">
        <v>2646.89</v>
      </c>
    </row>
    <row r="950" spans="1:14" x14ac:dyDescent="0.25">
      <c r="A950" s="1">
        <v>1949</v>
      </c>
      <c r="B950" s="1" t="s">
        <v>513</v>
      </c>
      <c r="C950" s="1" t="s">
        <v>229</v>
      </c>
      <c r="D950" s="1" t="s">
        <v>245</v>
      </c>
      <c r="E950" s="1" t="s">
        <v>124</v>
      </c>
      <c r="F950" s="1" t="s">
        <v>215</v>
      </c>
      <c r="G950" s="1" t="s">
        <v>216</v>
      </c>
      <c r="H950" s="1" t="s">
        <v>221</v>
      </c>
      <c r="I950" s="1">
        <v>4</v>
      </c>
      <c r="J950" s="1">
        <v>38901</v>
      </c>
      <c r="K950" s="1">
        <v>155604</v>
      </c>
      <c r="L950" s="1" t="s">
        <v>240</v>
      </c>
      <c r="M950" s="1">
        <v>0</v>
      </c>
      <c r="N950" s="1">
        <v>32553.94</v>
      </c>
    </row>
    <row r="951" spans="1:14" x14ac:dyDescent="0.25">
      <c r="A951" s="1">
        <v>1950</v>
      </c>
      <c r="B951" s="1" t="s">
        <v>513</v>
      </c>
      <c r="C951" s="1" t="s">
        <v>219</v>
      </c>
      <c r="D951" s="1" t="s">
        <v>220</v>
      </c>
      <c r="E951" s="1" t="s">
        <v>85</v>
      </c>
      <c r="F951" s="1" t="s">
        <v>225</v>
      </c>
      <c r="G951" s="1" t="s">
        <v>236</v>
      </c>
      <c r="H951" s="1" t="s">
        <v>128</v>
      </c>
      <c r="I951" s="1">
        <v>3</v>
      </c>
      <c r="J951" s="1">
        <v>7523</v>
      </c>
      <c r="K951" s="1">
        <v>22569</v>
      </c>
      <c r="L951" s="1" t="s">
        <v>222</v>
      </c>
      <c r="M951" s="1">
        <v>0</v>
      </c>
      <c r="N951" s="1">
        <v>6577.08</v>
      </c>
    </row>
    <row r="952" spans="1:14" x14ac:dyDescent="0.25">
      <c r="A952" s="1">
        <v>1951</v>
      </c>
      <c r="B952" s="1" t="s">
        <v>513</v>
      </c>
      <c r="C952" s="1" t="s">
        <v>229</v>
      </c>
      <c r="D952" s="1" t="s">
        <v>224</v>
      </c>
      <c r="E952" s="1" t="s">
        <v>233</v>
      </c>
      <c r="F952" s="1" t="s">
        <v>225</v>
      </c>
      <c r="G952" s="1" t="s">
        <v>226</v>
      </c>
      <c r="H952" s="1" t="s">
        <v>128</v>
      </c>
      <c r="I952" s="1">
        <v>3</v>
      </c>
      <c r="J952" s="1">
        <v>38360</v>
      </c>
      <c r="K952" s="1">
        <v>103572</v>
      </c>
      <c r="L952" s="1" t="s">
        <v>218</v>
      </c>
      <c r="M952" s="1">
        <v>10</v>
      </c>
      <c r="N952" s="1">
        <v>27009.33</v>
      </c>
    </row>
    <row r="953" spans="1:14" x14ac:dyDescent="0.25">
      <c r="A953" s="1">
        <v>1952</v>
      </c>
      <c r="B953" s="1" t="s">
        <v>513</v>
      </c>
      <c r="C953" s="1" t="s">
        <v>219</v>
      </c>
      <c r="D953" s="1" t="s">
        <v>214</v>
      </c>
      <c r="E953" s="1" t="s">
        <v>124</v>
      </c>
      <c r="F953" s="1" t="s">
        <v>230</v>
      </c>
      <c r="G953" s="1" t="s">
        <v>241</v>
      </c>
      <c r="H953" s="1" t="s">
        <v>234</v>
      </c>
      <c r="I953" s="1">
        <v>2</v>
      </c>
      <c r="J953" s="1">
        <v>38071</v>
      </c>
      <c r="K953" s="1">
        <v>68527.8</v>
      </c>
      <c r="L953" s="1" t="s">
        <v>240</v>
      </c>
      <c r="M953" s="1">
        <v>10</v>
      </c>
      <c r="N953" s="1">
        <v>18586.86</v>
      </c>
    </row>
    <row r="954" spans="1:14" x14ac:dyDescent="0.25">
      <c r="A954" s="1">
        <v>1953</v>
      </c>
      <c r="B954" s="1" t="s">
        <v>514</v>
      </c>
      <c r="C954" s="1" t="s">
        <v>223</v>
      </c>
      <c r="D954" s="1" t="s">
        <v>232</v>
      </c>
      <c r="E954" s="1" t="s">
        <v>233</v>
      </c>
      <c r="F954" s="1" t="s">
        <v>215</v>
      </c>
      <c r="G954" s="1" t="s">
        <v>216</v>
      </c>
      <c r="H954" s="1" t="s">
        <v>221</v>
      </c>
      <c r="I954" s="1">
        <v>3</v>
      </c>
      <c r="J954" s="1">
        <v>41341</v>
      </c>
      <c r="K954" s="1">
        <v>124023</v>
      </c>
      <c r="L954" s="1" t="s">
        <v>218</v>
      </c>
      <c r="M954" s="1">
        <v>0</v>
      </c>
      <c r="N954" s="1">
        <v>17474.169999999998</v>
      </c>
    </row>
    <row r="955" spans="1:14" x14ac:dyDescent="0.25">
      <c r="A955" s="1">
        <v>1954</v>
      </c>
      <c r="B955" s="1" t="s">
        <v>514</v>
      </c>
      <c r="C955" s="1" t="s">
        <v>239</v>
      </c>
      <c r="D955" s="1" t="s">
        <v>232</v>
      </c>
      <c r="E955" s="1" t="s">
        <v>233</v>
      </c>
      <c r="F955" s="1" t="s">
        <v>225</v>
      </c>
      <c r="G955" s="1" t="s">
        <v>236</v>
      </c>
      <c r="H955" s="1" t="s">
        <v>221</v>
      </c>
      <c r="I955" s="1">
        <v>4</v>
      </c>
      <c r="J955" s="1">
        <v>4312</v>
      </c>
      <c r="K955" s="1">
        <v>14660.8</v>
      </c>
      <c r="L955" s="1" t="s">
        <v>240</v>
      </c>
      <c r="M955" s="1">
        <v>15</v>
      </c>
      <c r="N955" s="1">
        <v>1964</v>
      </c>
    </row>
    <row r="956" spans="1:14" x14ac:dyDescent="0.25">
      <c r="A956" s="1">
        <v>1955</v>
      </c>
      <c r="B956" s="1" t="s">
        <v>514</v>
      </c>
      <c r="C956" s="1" t="s">
        <v>219</v>
      </c>
      <c r="D956" s="1" t="s">
        <v>220</v>
      </c>
      <c r="E956" s="1" t="s">
        <v>85</v>
      </c>
      <c r="F956" s="1" t="s">
        <v>230</v>
      </c>
      <c r="G956" s="1" t="s">
        <v>241</v>
      </c>
      <c r="H956" s="1" t="s">
        <v>221</v>
      </c>
      <c r="I956" s="1">
        <v>2</v>
      </c>
      <c r="J956" s="1">
        <v>36102</v>
      </c>
      <c r="K956" s="1">
        <v>61373.4</v>
      </c>
      <c r="L956" s="1" t="s">
        <v>222</v>
      </c>
      <c r="M956" s="1">
        <v>15</v>
      </c>
      <c r="N956" s="1">
        <v>11771.14</v>
      </c>
    </row>
    <row r="957" spans="1:14" x14ac:dyDescent="0.25">
      <c r="A957" s="1">
        <v>1956</v>
      </c>
      <c r="B957" s="1" t="s">
        <v>514</v>
      </c>
      <c r="C957" s="1" t="s">
        <v>229</v>
      </c>
      <c r="D957" s="1" t="s">
        <v>232</v>
      </c>
      <c r="E957" s="1" t="s">
        <v>233</v>
      </c>
      <c r="F957" s="1" t="s">
        <v>215</v>
      </c>
      <c r="G957" s="1" t="s">
        <v>246</v>
      </c>
      <c r="H957" s="1" t="s">
        <v>217</v>
      </c>
      <c r="I957" s="1">
        <v>1</v>
      </c>
      <c r="J957" s="1">
        <v>19412</v>
      </c>
      <c r="K957" s="1">
        <v>17470.8</v>
      </c>
      <c r="L957" s="1" t="s">
        <v>218</v>
      </c>
      <c r="M957" s="1">
        <v>10</v>
      </c>
      <c r="N957" s="1">
        <v>5075.04</v>
      </c>
    </row>
    <row r="958" spans="1:14" x14ac:dyDescent="0.25">
      <c r="A958" s="1">
        <v>1957</v>
      </c>
      <c r="B958" s="1" t="s">
        <v>515</v>
      </c>
      <c r="C958" s="1" t="s">
        <v>229</v>
      </c>
      <c r="D958" s="1" t="s">
        <v>245</v>
      </c>
      <c r="E958" s="1" t="s">
        <v>124</v>
      </c>
      <c r="F958" s="1" t="s">
        <v>215</v>
      </c>
      <c r="G958" s="1" t="s">
        <v>244</v>
      </c>
      <c r="H958" s="1" t="s">
        <v>128</v>
      </c>
      <c r="I958" s="1">
        <v>3</v>
      </c>
      <c r="J958" s="1">
        <v>15787</v>
      </c>
      <c r="K958" s="1">
        <v>42624.9</v>
      </c>
      <c r="L958" s="1" t="s">
        <v>227</v>
      </c>
      <c r="M958" s="1">
        <v>10</v>
      </c>
      <c r="N958" s="1">
        <v>5093.99</v>
      </c>
    </row>
    <row r="959" spans="1:14" x14ac:dyDescent="0.25">
      <c r="A959" s="1">
        <v>1958</v>
      </c>
      <c r="B959" s="1" t="s">
        <v>515</v>
      </c>
      <c r="C959" s="1" t="s">
        <v>219</v>
      </c>
      <c r="D959" s="1" t="s">
        <v>245</v>
      </c>
      <c r="E959" s="1" t="s">
        <v>124</v>
      </c>
      <c r="F959" s="1" t="s">
        <v>215</v>
      </c>
      <c r="G959" s="1" t="s">
        <v>216</v>
      </c>
      <c r="H959" s="1" t="s">
        <v>221</v>
      </c>
      <c r="I959" s="1">
        <v>5</v>
      </c>
      <c r="J959" s="1">
        <v>47355</v>
      </c>
      <c r="K959" s="1">
        <v>201258.75</v>
      </c>
      <c r="L959" s="1" t="s">
        <v>227</v>
      </c>
      <c r="M959" s="1">
        <v>15</v>
      </c>
      <c r="N959" s="1">
        <v>22259.94</v>
      </c>
    </row>
    <row r="960" spans="1:14" x14ac:dyDescent="0.25">
      <c r="A960" s="1">
        <v>1959</v>
      </c>
      <c r="B960" s="1" t="s">
        <v>515</v>
      </c>
      <c r="C960" s="1" t="s">
        <v>223</v>
      </c>
      <c r="D960" s="1" t="s">
        <v>214</v>
      </c>
      <c r="E960" s="1" t="s">
        <v>124</v>
      </c>
      <c r="F960" s="1" t="s">
        <v>225</v>
      </c>
      <c r="G960" s="1" t="s">
        <v>248</v>
      </c>
      <c r="H960" s="1" t="s">
        <v>234</v>
      </c>
      <c r="I960" s="1">
        <v>4</v>
      </c>
      <c r="J960" s="1">
        <v>2815</v>
      </c>
      <c r="K960" s="1">
        <v>9571</v>
      </c>
      <c r="L960" s="1" t="s">
        <v>240</v>
      </c>
      <c r="M960" s="1">
        <v>15</v>
      </c>
      <c r="N960" s="1">
        <v>2363.08</v>
      </c>
    </row>
    <row r="961" spans="1:14" x14ac:dyDescent="0.25">
      <c r="A961" s="1">
        <v>1960</v>
      </c>
      <c r="B961" s="1" t="s">
        <v>515</v>
      </c>
      <c r="C961" s="1" t="s">
        <v>239</v>
      </c>
      <c r="D961" s="1" t="s">
        <v>232</v>
      </c>
      <c r="E961" s="1" t="s">
        <v>233</v>
      </c>
      <c r="F961" s="1" t="s">
        <v>215</v>
      </c>
      <c r="G961" s="1" t="s">
        <v>216</v>
      </c>
      <c r="H961" s="1" t="s">
        <v>128</v>
      </c>
      <c r="I961" s="1">
        <v>4</v>
      </c>
      <c r="J961" s="1">
        <v>41203</v>
      </c>
      <c r="K961" s="1">
        <v>148330.79999999999</v>
      </c>
      <c r="L961" s="1" t="s">
        <v>218</v>
      </c>
      <c r="M961" s="1">
        <v>10</v>
      </c>
      <c r="N961" s="1">
        <v>37686.269999999997</v>
      </c>
    </row>
    <row r="962" spans="1:14" x14ac:dyDescent="0.25">
      <c r="A962" s="1">
        <v>1961</v>
      </c>
      <c r="B962" s="1" t="s">
        <v>516</v>
      </c>
      <c r="C962" s="1" t="s">
        <v>223</v>
      </c>
      <c r="D962" s="1" t="s">
        <v>220</v>
      </c>
      <c r="E962" s="1" t="s">
        <v>85</v>
      </c>
      <c r="F962" s="1" t="s">
        <v>225</v>
      </c>
      <c r="G962" s="1" t="s">
        <v>226</v>
      </c>
      <c r="H962" s="1" t="s">
        <v>234</v>
      </c>
      <c r="I962" s="1">
        <v>3</v>
      </c>
      <c r="J962" s="1">
        <v>13912</v>
      </c>
      <c r="K962" s="1">
        <v>39649.199999999997</v>
      </c>
      <c r="L962" s="1" t="s">
        <v>218</v>
      </c>
      <c r="M962" s="1">
        <v>5</v>
      </c>
      <c r="N962" s="1">
        <v>11321.59</v>
      </c>
    </row>
    <row r="963" spans="1:14" x14ac:dyDescent="0.25">
      <c r="A963" s="1">
        <v>1962</v>
      </c>
      <c r="B963" s="1" t="s">
        <v>516</v>
      </c>
      <c r="C963" s="1" t="s">
        <v>219</v>
      </c>
      <c r="D963" s="1" t="s">
        <v>232</v>
      </c>
      <c r="E963" s="1" t="s">
        <v>233</v>
      </c>
      <c r="F963" s="1" t="s">
        <v>215</v>
      </c>
      <c r="G963" s="1" t="s">
        <v>244</v>
      </c>
      <c r="H963" s="1" t="s">
        <v>234</v>
      </c>
      <c r="I963" s="1">
        <v>5</v>
      </c>
      <c r="J963" s="1">
        <v>44334</v>
      </c>
      <c r="K963" s="1">
        <v>221670</v>
      </c>
      <c r="L963" s="1" t="s">
        <v>222</v>
      </c>
      <c r="M963" s="1">
        <v>0</v>
      </c>
      <c r="N963" s="1">
        <v>22978.92</v>
      </c>
    </row>
    <row r="964" spans="1:14" x14ac:dyDescent="0.25">
      <c r="A964" s="1">
        <v>1963</v>
      </c>
      <c r="B964" s="1" t="s">
        <v>516</v>
      </c>
      <c r="C964" s="1" t="s">
        <v>213</v>
      </c>
      <c r="D964" s="1" t="s">
        <v>245</v>
      </c>
      <c r="E964" s="1" t="s">
        <v>124</v>
      </c>
      <c r="F964" s="1" t="s">
        <v>225</v>
      </c>
      <c r="G964" s="1" t="s">
        <v>236</v>
      </c>
      <c r="H964" s="1" t="s">
        <v>217</v>
      </c>
      <c r="I964" s="1">
        <v>1</v>
      </c>
      <c r="J964" s="1">
        <v>48951</v>
      </c>
      <c r="K964" s="1">
        <v>44055.9</v>
      </c>
      <c r="L964" s="1" t="s">
        <v>218</v>
      </c>
      <c r="M964" s="1">
        <v>10</v>
      </c>
      <c r="N964" s="1">
        <v>7364.93</v>
      </c>
    </row>
    <row r="965" spans="1:14" x14ac:dyDescent="0.25">
      <c r="A965" s="1">
        <v>1964</v>
      </c>
      <c r="B965" s="1" t="s">
        <v>516</v>
      </c>
      <c r="C965" s="1" t="s">
        <v>223</v>
      </c>
      <c r="D965" s="1" t="s">
        <v>214</v>
      </c>
      <c r="E965" s="1" t="s">
        <v>124</v>
      </c>
      <c r="F965" s="1" t="s">
        <v>225</v>
      </c>
      <c r="G965" s="1" t="s">
        <v>236</v>
      </c>
      <c r="H965" s="1" t="s">
        <v>128</v>
      </c>
      <c r="I965" s="1">
        <v>2</v>
      </c>
      <c r="J965" s="1">
        <v>37820</v>
      </c>
      <c r="K965" s="1">
        <v>68076</v>
      </c>
      <c r="L965" s="1" t="s">
        <v>218</v>
      </c>
      <c r="M965" s="1">
        <v>10</v>
      </c>
      <c r="N965" s="1">
        <v>19163.13</v>
      </c>
    </row>
    <row r="966" spans="1:14" x14ac:dyDescent="0.25">
      <c r="A966" s="1">
        <v>1965</v>
      </c>
      <c r="B966" s="1" t="s">
        <v>516</v>
      </c>
      <c r="C966" s="1" t="s">
        <v>213</v>
      </c>
      <c r="D966" s="1" t="s">
        <v>220</v>
      </c>
      <c r="E966" s="1" t="s">
        <v>85</v>
      </c>
      <c r="F966" s="1" t="s">
        <v>225</v>
      </c>
      <c r="G966" s="1" t="s">
        <v>226</v>
      </c>
      <c r="H966" s="1" t="s">
        <v>128</v>
      </c>
      <c r="I966" s="1">
        <v>5</v>
      </c>
      <c r="J966" s="1">
        <v>41215</v>
      </c>
      <c r="K966" s="1">
        <v>185467.5</v>
      </c>
      <c r="L966" s="1" t="s">
        <v>218</v>
      </c>
      <c r="M966" s="1">
        <v>10</v>
      </c>
      <c r="N966" s="1">
        <v>30271.46</v>
      </c>
    </row>
    <row r="967" spans="1:14" x14ac:dyDescent="0.25">
      <c r="A967" s="1">
        <v>1966</v>
      </c>
      <c r="B967" s="1" t="s">
        <v>517</v>
      </c>
      <c r="C967" s="1" t="s">
        <v>239</v>
      </c>
      <c r="D967" s="1" t="s">
        <v>220</v>
      </c>
      <c r="E967" s="1" t="s">
        <v>85</v>
      </c>
      <c r="F967" s="1" t="s">
        <v>230</v>
      </c>
      <c r="G967" s="1" t="s">
        <v>242</v>
      </c>
      <c r="H967" s="1" t="s">
        <v>217</v>
      </c>
      <c r="I967" s="1">
        <v>3</v>
      </c>
      <c r="J967" s="1">
        <v>27152</v>
      </c>
      <c r="K967" s="1">
        <v>73310.399999999994</v>
      </c>
      <c r="L967" s="1" t="s">
        <v>240</v>
      </c>
      <c r="M967" s="1">
        <v>10</v>
      </c>
      <c r="N967" s="1">
        <v>8505.6</v>
      </c>
    </row>
    <row r="968" spans="1:14" x14ac:dyDescent="0.25">
      <c r="A968" s="1">
        <v>1967</v>
      </c>
      <c r="B968" s="1" t="s">
        <v>517</v>
      </c>
      <c r="C968" s="1" t="s">
        <v>229</v>
      </c>
      <c r="D968" s="1" t="s">
        <v>224</v>
      </c>
      <c r="E968" s="1" t="s">
        <v>233</v>
      </c>
      <c r="F968" s="1" t="s">
        <v>215</v>
      </c>
      <c r="G968" s="1" t="s">
        <v>244</v>
      </c>
      <c r="H968" s="1" t="s">
        <v>221</v>
      </c>
      <c r="I968" s="1">
        <v>2</v>
      </c>
      <c r="J968" s="1">
        <v>29783</v>
      </c>
      <c r="K968" s="1">
        <v>53609.4</v>
      </c>
      <c r="L968" s="1" t="s">
        <v>218</v>
      </c>
      <c r="M968" s="1">
        <v>10</v>
      </c>
      <c r="N968" s="1">
        <v>16032.01</v>
      </c>
    </row>
    <row r="969" spans="1:14" x14ac:dyDescent="0.25">
      <c r="A969" s="1">
        <v>1968</v>
      </c>
      <c r="B969" s="1" t="s">
        <v>517</v>
      </c>
      <c r="C969" s="1" t="s">
        <v>239</v>
      </c>
      <c r="D969" s="1" t="s">
        <v>220</v>
      </c>
      <c r="E969" s="1" t="s">
        <v>85</v>
      </c>
      <c r="F969" s="1" t="s">
        <v>230</v>
      </c>
      <c r="G969" s="1" t="s">
        <v>231</v>
      </c>
      <c r="H969" s="1" t="s">
        <v>128</v>
      </c>
      <c r="I969" s="1">
        <v>5</v>
      </c>
      <c r="J969" s="1">
        <v>16984</v>
      </c>
      <c r="K969" s="1">
        <v>76428</v>
      </c>
      <c r="L969" s="1" t="s">
        <v>222</v>
      </c>
      <c r="M969" s="1">
        <v>10</v>
      </c>
      <c r="N969" s="1">
        <v>19018.099999999999</v>
      </c>
    </row>
    <row r="970" spans="1:14" x14ac:dyDescent="0.25">
      <c r="A970" s="1">
        <v>1969</v>
      </c>
      <c r="B970" s="1" t="s">
        <v>518</v>
      </c>
      <c r="C970" s="1" t="s">
        <v>229</v>
      </c>
      <c r="D970" s="1" t="s">
        <v>220</v>
      </c>
      <c r="E970" s="1" t="s">
        <v>85</v>
      </c>
      <c r="F970" s="1" t="s">
        <v>225</v>
      </c>
      <c r="G970" s="1" t="s">
        <v>248</v>
      </c>
      <c r="H970" s="1" t="s">
        <v>234</v>
      </c>
      <c r="I970" s="1">
        <v>1</v>
      </c>
      <c r="J970" s="1">
        <v>33078</v>
      </c>
      <c r="K970" s="1">
        <v>28116.3</v>
      </c>
      <c r="L970" s="1" t="s">
        <v>227</v>
      </c>
      <c r="M970" s="1">
        <v>15</v>
      </c>
      <c r="N970" s="1">
        <v>6368.05</v>
      </c>
    </row>
    <row r="971" spans="1:14" x14ac:dyDescent="0.25">
      <c r="A971" s="1">
        <v>1970</v>
      </c>
      <c r="B971" s="1" t="s">
        <v>518</v>
      </c>
      <c r="C971" s="1" t="s">
        <v>223</v>
      </c>
      <c r="D971" s="1" t="s">
        <v>232</v>
      </c>
      <c r="E971" s="1" t="s">
        <v>233</v>
      </c>
      <c r="F971" s="1" t="s">
        <v>225</v>
      </c>
      <c r="G971" s="1" t="s">
        <v>248</v>
      </c>
      <c r="H971" s="1" t="s">
        <v>128</v>
      </c>
      <c r="I971" s="1">
        <v>4</v>
      </c>
      <c r="J971" s="1">
        <v>40592</v>
      </c>
      <c r="K971" s="1">
        <v>162368</v>
      </c>
      <c r="L971" s="1" t="s">
        <v>222</v>
      </c>
      <c r="M971" s="1">
        <v>0</v>
      </c>
      <c r="N971" s="1">
        <v>45239.09</v>
      </c>
    </row>
    <row r="972" spans="1:14" x14ac:dyDescent="0.25">
      <c r="A972" s="1">
        <v>1971</v>
      </c>
      <c r="B972" s="1" t="s">
        <v>518</v>
      </c>
      <c r="C972" s="1" t="s">
        <v>239</v>
      </c>
      <c r="D972" s="1" t="s">
        <v>220</v>
      </c>
      <c r="E972" s="1" t="s">
        <v>85</v>
      </c>
      <c r="F972" s="1" t="s">
        <v>215</v>
      </c>
      <c r="G972" s="1" t="s">
        <v>246</v>
      </c>
      <c r="H972" s="1" t="s">
        <v>217</v>
      </c>
      <c r="I972" s="1">
        <v>4</v>
      </c>
      <c r="J972" s="1">
        <v>27341</v>
      </c>
      <c r="K972" s="1">
        <v>98427.6</v>
      </c>
      <c r="L972" s="1" t="s">
        <v>222</v>
      </c>
      <c r="M972" s="1">
        <v>10</v>
      </c>
      <c r="N972" s="1">
        <v>26754.69</v>
      </c>
    </row>
    <row r="973" spans="1:14" x14ac:dyDescent="0.25">
      <c r="A973" s="1">
        <v>1972</v>
      </c>
      <c r="B973" s="1" t="s">
        <v>518</v>
      </c>
      <c r="C973" s="1" t="s">
        <v>229</v>
      </c>
      <c r="D973" s="1" t="s">
        <v>224</v>
      </c>
      <c r="E973" s="1" t="s">
        <v>233</v>
      </c>
      <c r="F973" s="1" t="s">
        <v>225</v>
      </c>
      <c r="G973" s="1" t="s">
        <v>248</v>
      </c>
      <c r="H973" s="1" t="s">
        <v>128</v>
      </c>
      <c r="I973" s="1">
        <v>5</v>
      </c>
      <c r="J973" s="1">
        <v>45834</v>
      </c>
      <c r="K973" s="1">
        <v>229170</v>
      </c>
      <c r="L973" s="1" t="s">
        <v>218</v>
      </c>
      <c r="M973" s="1">
        <v>0</v>
      </c>
      <c r="N973" s="1">
        <v>66126.06</v>
      </c>
    </row>
    <row r="974" spans="1:14" x14ac:dyDescent="0.25">
      <c r="A974" s="1">
        <v>1973</v>
      </c>
      <c r="B974" s="1" t="s">
        <v>518</v>
      </c>
      <c r="C974" s="1" t="s">
        <v>213</v>
      </c>
      <c r="D974" s="1" t="s">
        <v>214</v>
      </c>
      <c r="E974" s="1" t="s">
        <v>124</v>
      </c>
      <c r="F974" s="1" t="s">
        <v>230</v>
      </c>
      <c r="G974" s="1" t="s">
        <v>231</v>
      </c>
      <c r="H974" s="1" t="s">
        <v>217</v>
      </c>
      <c r="I974" s="1">
        <v>3</v>
      </c>
      <c r="J974" s="1">
        <v>47021</v>
      </c>
      <c r="K974" s="1">
        <v>119903.55</v>
      </c>
      <c r="L974" s="1" t="s">
        <v>222</v>
      </c>
      <c r="M974" s="1">
        <v>15</v>
      </c>
      <c r="N974" s="1">
        <v>15394.22</v>
      </c>
    </row>
    <row r="975" spans="1:14" x14ac:dyDescent="0.25">
      <c r="A975" s="1">
        <v>1974</v>
      </c>
      <c r="B975" s="1" t="s">
        <v>519</v>
      </c>
      <c r="C975" s="1" t="s">
        <v>219</v>
      </c>
      <c r="D975" s="1" t="s">
        <v>214</v>
      </c>
      <c r="E975" s="1" t="s">
        <v>124</v>
      </c>
      <c r="F975" s="1" t="s">
        <v>215</v>
      </c>
      <c r="G975" s="1" t="s">
        <v>246</v>
      </c>
      <c r="H975" s="1" t="s">
        <v>217</v>
      </c>
      <c r="I975" s="1">
        <v>2</v>
      </c>
      <c r="J975" s="1">
        <v>48187</v>
      </c>
      <c r="K975" s="1">
        <v>91555.3</v>
      </c>
      <c r="L975" s="1" t="s">
        <v>222</v>
      </c>
      <c r="M975" s="1">
        <v>5</v>
      </c>
      <c r="N975" s="1">
        <v>19197.759999999998</v>
      </c>
    </row>
    <row r="976" spans="1:14" x14ac:dyDescent="0.25">
      <c r="A976" s="1">
        <v>1975</v>
      </c>
      <c r="B976" s="1" t="s">
        <v>519</v>
      </c>
      <c r="C976" s="1" t="s">
        <v>239</v>
      </c>
      <c r="D976" s="1" t="s">
        <v>220</v>
      </c>
      <c r="E976" s="1" t="s">
        <v>85</v>
      </c>
      <c r="F976" s="1" t="s">
        <v>215</v>
      </c>
      <c r="G976" s="1" t="s">
        <v>244</v>
      </c>
      <c r="H976" s="1" t="s">
        <v>128</v>
      </c>
      <c r="I976" s="1">
        <v>2</v>
      </c>
      <c r="J976" s="1">
        <v>47583</v>
      </c>
      <c r="K976" s="1">
        <v>90407.7</v>
      </c>
      <c r="L976" s="1" t="s">
        <v>218</v>
      </c>
      <c r="M976" s="1">
        <v>5</v>
      </c>
      <c r="N976" s="1">
        <v>21231.93</v>
      </c>
    </row>
    <row r="977" spans="1:14" x14ac:dyDescent="0.25">
      <c r="A977" s="1">
        <v>1976</v>
      </c>
      <c r="B977" s="1" t="s">
        <v>519</v>
      </c>
      <c r="C977" s="1" t="s">
        <v>219</v>
      </c>
      <c r="D977" s="1" t="s">
        <v>220</v>
      </c>
      <c r="E977" s="1" t="s">
        <v>85</v>
      </c>
      <c r="F977" s="1" t="s">
        <v>215</v>
      </c>
      <c r="G977" s="1" t="s">
        <v>216</v>
      </c>
      <c r="H977" s="1" t="s">
        <v>217</v>
      </c>
      <c r="I977" s="1">
        <v>3</v>
      </c>
      <c r="J977" s="1">
        <v>5393</v>
      </c>
      <c r="K977" s="1">
        <v>13752.15</v>
      </c>
      <c r="L977" s="1" t="s">
        <v>222</v>
      </c>
      <c r="M977" s="1">
        <v>15</v>
      </c>
      <c r="N977" s="1">
        <v>1979.87</v>
      </c>
    </row>
    <row r="978" spans="1:14" x14ac:dyDescent="0.25">
      <c r="A978" s="1">
        <v>1977</v>
      </c>
      <c r="B978" s="1" t="s">
        <v>519</v>
      </c>
      <c r="C978" s="1" t="s">
        <v>213</v>
      </c>
      <c r="D978" s="1" t="s">
        <v>232</v>
      </c>
      <c r="E978" s="1" t="s">
        <v>233</v>
      </c>
      <c r="F978" s="1" t="s">
        <v>215</v>
      </c>
      <c r="G978" s="1" t="s">
        <v>246</v>
      </c>
      <c r="H978" s="1" t="s">
        <v>221</v>
      </c>
      <c r="I978" s="1">
        <v>5</v>
      </c>
      <c r="J978" s="1">
        <v>5951</v>
      </c>
      <c r="K978" s="1">
        <v>25291.75</v>
      </c>
      <c r="L978" s="1" t="s">
        <v>240</v>
      </c>
      <c r="M978" s="1">
        <v>15</v>
      </c>
      <c r="N978" s="1">
        <v>2934.61</v>
      </c>
    </row>
    <row r="979" spans="1:14" x14ac:dyDescent="0.25">
      <c r="A979" s="1">
        <v>1978</v>
      </c>
      <c r="B979" s="1" t="s">
        <v>520</v>
      </c>
      <c r="C979" s="1" t="s">
        <v>213</v>
      </c>
      <c r="D979" s="1" t="s">
        <v>214</v>
      </c>
      <c r="E979" s="1" t="s">
        <v>124</v>
      </c>
      <c r="F979" s="1" t="s">
        <v>225</v>
      </c>
      <c r="G979" s="1" t="s">
        <v>226</v>
      </c>
      <c r="H979" s="1" t="s">
        <v>128</v>
      </c>
      <c r="I979" s="1">
        <v>2</v>
      </c>
      <c r="J979" s="1">
        <v>4829</v>
      </c>
      <c r="K979" s="1">
        <v>9658</v>
      </c>
      <c r="L979" s="1" t="s">
        <v>227</v>
      </c>
      <c r="M979" s="1">
        <v>0</v>
      </c>
      <c r="N979" s="1">
        <v>2761.85</v>
      </c>
    </row>
    <row r="980" spans="1:14" x14ac:dyDescent="0.25">
      <c r="A980" s="1">
        <v>1979</v>
      </c>
      <c r="B980" s="1" t="s">
        <v>520</v>
      </c>
      <c r="C980" s="1" t="s">
        <v>213</v>
      </c>
      <c r="D980" s="1" t="s">
        <v>214</v>
      </c>
      <c r="E980" s="1" t="s">
        <v>124</v>
      </c>
      <c r="F980" s="1" t="s">
        <v>225</v>
      </c>
      <c r="G980" s="1" t="s">
        <v>226</v>
      </c>
      <c r="H980" s="1" t="s">
        <v>217</v>
      </c>
      <c r="I980" s="1">
        <v>1</v>
      </c>
      <c r="J980" s="1">
        <v>21468</v>
      </c>
      <c r="K980" s="1">
        <v>21468</v>
      </c>
      <c r="L980" s="1" t="s">
        <v>222</v>
      </c>
      <c r="M980" s="1">
        <v>0</v>
      </c>
      <c r="N980" s="1">
        <v>5766.8</v>
      </c>
    </row>
    <row r="981" spans="1:14" x14ac:dyDescent="0.25">
      <c r="A981" s="1">
        <v>1980</v>
      </c>
      <c r="B981" s="1" t="s">
        <v>520</v>
      </c>
      <c r="C981" s="1" t="s">
        <v>229</v>
      </c>
      <c r="D981" s="1" t="s">
        <v>245</v>
      </c>
      <c r="E981" s="1" t="s">
        <v>124</v>
      </c>
      <c r="F981" s="1" t="s">
        <v>225</v>
      </c>
      <c r="G981" s="1" t="s">
        <v>226</v>
      </c>
      <c r="H981" s="1" t="s">
        <v>221</v>
      </c>
      <c r="I981" s="1">
        <v>3</v>
      </c>
      <c r="J981" s="1">
        <v>25946</v>
      </c>
      <c r="K981" s="1">
        <v>70054.2</v>
      </c>
      <c r="L981" s="1" t="s">
        <v>218</v>
      </c>
      <c r="M981" s="1">
        <v>10</v>
      </c>
      <c r="N981" s="1">
        <v>10085.98</v>
      </c>
    </row>
    <row r="982" spans="1:14" x14ac:dyDescent="0.25">
      <c r="A982" s="1">
        <v>1981</v>
      </c>
      <c r="B982" s="1" t="s">
        <v>521</v>
      </c>
      <c r="C982" s="1" t="s">
        <v>223</v>
      </c>
      <c r="D982" s="1" t="s">
        <v>214</v>
      </c>
      <c r="E982" s="1" t="s">
        <v>124</v>
      </c>
      <c r="F982" s="1" t="s">
        <v>225</v>
      </c>
      <c r="G982" s="1" t="s">
        <v>236</v>
      </c>
      <c r="H982" s="1" t="s">
        <v>217</v>
      </c>
      <c r="I982" s="1">
        <v>1</v>
      </c>
      <c r="J982" s="1">
        <v>2193</v>
      </c>
      <c r="K982" s="1">
        <v>2193</v>
      </c>
      <c r="L982" s="1" t="s">
        <v>227</v>
      </c>
      <c r="M982" s="1">
        <v>0</v>
      </c>
      <c r="N982" s="1">
        <v>235.48</v>
      </c>
    </row>
    <row r="983" spans="1:14" x14ac:dyDescent="0.25">
      <c r="A983" s="1">
        <v>1982</v>
      </c>
      <c r="B983" s="1" t="s">
        <v>521</v>
      </c>
      <c r="C983" s="1" t="s">
        <v>223</v>
      </c>
      <c r="D983" s="1" t="s">
        <v>214</v>
      </c>
      <c r="E983" s="1" t="s">
        <v>124</v>
      </c>
      <c r="F983" s="1" t="s">
        <v>230</v>
      </c>
      <c r="G983" s="1" t="s">
        <v>231</v>
      </c>
      <c r="H983" s="1" t="s">
        <v>234</v>
      </c>
      <c r="I983" s="1">
        <v>4</v>
      </c>
      <c r="J983" s="1">
        <v>42212</v>
      </c>
      <c r="K983" s="1">
        <v>160405.6</v>
      </c>
      <c r="L983" s="1" t="s">
        <v>218</v>
      </c>
      <c r="M983" s="1">
        <v>5</v>
      </c>
      <c r="N983" s="1">
        <v>30168.26</v>
      </c>
    </row>
    <row r="984" spans="1:14" x14ac:dyDescent="0.25">
      <c r="A984" s="1">
        <v>1983</v>
      </c>
      <c r="B984" s="1" t="s">
        <v>521</v>
      </c>
      <c r="C984" s="1" t="s">
        <v>219</v>
      </c>
      <c r="D984" s="1" t="s">
        <v>224</v>
      </c>
      <c r="E984" s="1" t="s">
        <v>233</v>
      </c>
      <c r="F984" s="1" t="s">
        <v>230</v>
      </c>
      <c r="G984" s="1" t="s">
        <v>231</v>
      </c>
      <c r="H984" s="1" t="s">
        <v>234</v>
      </c>
      <c r="I984" s="1">
        <v>5</v>
      </c>
      <c r="J984" s="1">
        <v>12567</v>
      </c>
      <c r="K984" s="1">
        <v>56551.5</v>
      </c>
      <c r="L984" s="1" t="s">
        <v>227</v>
      </c>
      <c r="M984" s="1">
        <v>10</v>
      </c>
      <c r="N984" s="1">
        <v>12866.36</v>
      </c>
    </row>
    <row r="985" spans="1:14" x14ac:dyDescent="0.25">
      <c r="A985" s="1">
        <v>1984</v>
      </c>
      <c r="B985" s="1" t="s">
        <v>521</v>
      </c>
      <c r="C985" s="1" t="s">
        <v>229</v>
      </c>
      <c r="D985" s="1" t="s">
        <v>220</v>
      </c>
      <c r="E985" s="1" t="s">
        <v>85</v>
      </c>
      <c r="F985" s="1" t="s">
        <v>225</v>
      </c>
      <c r="G985" s="1" t="s">
        <v>236</v>
      </c>
      <c r="H985" s="1" t="s">
        <v>221</v>
      </c>
      <c r="I985" s="1">
        <v>2</v>
      </c>
      <c r="J985" s="1">
        <v>18712</v>
      </c>
      <c r="K985" s="1">
        <v>31810.400000000001</v>
      </c>
      <c r="L985" s="1" t="s">
        <v>218</v>
      </c>
      <c r="M985" s="1">
        <v>15</v>
      </c>
      <c r="N985" s="1">
        <v>8980.93</v>
      </c>
    </row>
    <row r="986" spans="1:14" x14ac:dyDescent="0.25">
      <c r="A986" s="1">
        <v>1985</v>
      </c>
      <c r="B986" s="1" t="s">
        <v>521</v>
      </c>
      <c r="C986" s="1" t="s">
        <v>239</v>
      </c>
      <c r="D986" s="1" t="s">
        <v>232</v>
      </c>
      <c r="E986" s="1" t="s">
        <v>233</v>
      </c>
      <c r="F986" s="1" t="s">
        <v>230</v>
      </c>
      <c r="G986" s="1" t="s">
        <v>241</v>
      </c>
      <c r="H986" s="1" t="s">
        <v>234</v>
      </c>
      <c r="I986" s="1">
        <v>2</v>
      </c>
      <c r="J986" s="1">
        <v>35647</v>
      </c>
      <c r="K986" s="1">
        <v>64164.6</v>
      </c>
      <c r="L986" s="1" t="s">
        <v>240</v>
      </c>
      <c r="M986" s="1">
        <v>10</v>
      </c>
      <c r="N986" s="1">
        <v>18708.23</v>
      </c>
    </row>
    <row r="987" spans="1:14" x14ac:dyDescent="0.25">
      <c r="A987" s="1">
        <v>1986</v>
      </c>
      <c r="B987" s="1" t="s">
        <v>522</v>
      </c>
      <c r="C987" s="1" t="s">
        <v>219</v>
      </c>
      <c r="D987" s="1" t="s">
        <v>214</v>
      </c>
      <c r="E987" s="1" t="s">
        <v>124</v>
      </c>
      <c r="F987" s="1" t="s">
        <v>230</v>
      </c>
      <c r="G987" s="1" t="s">
        <v>242</v>
      </c>
      <c r="H987" s="1" t="s">
        <v>217</v>
      </c>
      <c r="I987" s="1">
        <v>3</v>
      </c>
      <c r="J987" s="1">
        <v>47267</v>
      </c>
      <c r="K987" s="1">
        <v>141801</v>
      </c>
      <c r="L987" s="1" t="s">
        <v>240</v>
      </c>
      <c r="M987" s="1">
        <v>0</v>
      </c>
      <c r="N987" s="1">
        <v>37118.33</v>
      </c>
    </row>
    <row r="988" spans="1:14" x14ac:dyDescent="0.25">
      <c r="A988" s="1">
        <v>1987</v>
      </c>
      <c r="B988" s="1" t="s">
        <v>522</v>
      </c>
      <c r="C988" s="1" t="s">
        <v>239</v>
      </c>
      <c r="D988" s="1" t="s">
        <v>224</v>
      </c>
      <c r="E988" s="1" t="s">
        <v>233</v>
      </c>
      <c r="F988" s="1" t="s">
        <v>225</v>
      </c>
      <c r="G988" s="1" t="s">
        <v>248</v>
      </c>
      <c r="H988" s="1" t="s">
        <v>221</v>
      </c>
      <c r="I988" s="1">
        <v>5</v>
      </c>
      <c r="J988" s="1">
        <v>39577</v>
      </c>
      <c r="K988" s="1">
        <v>197885</v>
      </c>
      <c r="L988" s="1" t="s">
        <v>222</v>
      </c>
      <c r="M988" s="1">
        <v>0</v>
      </c>
      <c r="N988" s="1">
        <v>19791.060000000001</v>
      </c>
    </row>
    <row r="989" spans="1:14" x14ac:dyDescent="0.25">
      <c r="A989" s="1">
        <v>1988</v>
      </c>
      <c r="B989" s="1" t="s">
        <v>523</v>
      </c>
      <c r="C989" s="1" t="s">
        <v>223</v>
      </c>
      <c r="D989" s="1" t="s">
        <v>224</v>
      </c>
      <c r="E989" s="1" t="s">
        <v>233</v>
      </c>
      <c r="F989" s="1" t="s">
        <v>230</v>
      </c>
      <c r="G989" s="1" t="s">
        <v>231</v>
      </c>
      <c r="H989" s="1" t="s">
        <v>217</v>
      </c>
      <c r="I989" s="1">
        <v>3</v>
      </c>
      <c r="J989" s="1">
        <v>38805</v>
      </c>
      <c r="K989" s="1">
        <v>98952.75</v>
      </c>
      <c r="L989" s="1" t="s">
        <v>222</v>
      </c>
      <c r="M989" s="1">
        <v>15</v>
      </c>
      <c r="N989" s="1">
        <v>18053.990000000002</v>
      </c>
    </row>
    <row r="990" spans="1:14" x14ac:dyDescent="0.25">
      <c r="A990" s="1">
        <v>1989</v>
      </c>
      <c r="B990" s="1" t="s">
        <v>523</v>
      </c>
      <c r="C990" s="1" t="s">
        <v>219</v>
      </c>
      <c r="D990" s="1" t="s">
        <v>232</v>
      </c>
      <c r="E990" s="1" t="s">
        <v>233</v>
      </c>
      <c r="F990" s="1" t="s">
        <v>225</v>
      </c>
      <c r="G990" s="1" t="s">
        <v>248</v>
      </c>
      <c r="H990" s="1" t="s">
        <v>234</v>
      </c>
      <c r="I990" s="1">
        <v>3</v>
      </c>
      <c r="J990" s="1">
        <v>21069</v>
      </c>
      <c r="K990" s="1">
        <v>63207</v>
      </c>
      <c r="L990" s="1" t="s">
        <v>227</v>
      </c>
      <c r="M990" s="1">
        <v>0</v>
      </c>
      <c r="N990" s="1">
        <v>16887.849999999999</v>
      </c>
    </row>
    <row r="991" spans="1:14" x14ac:dyDescent="0.25">
      <c r="A991" s="1">
        <v>1990</v>
      </c>
      <c r="B991" s="1" t="s">
        <v>523</v>
      </c>
      <c r="C991" s="1" t="s">
        <v>219</v>
      </c>
      <c r="D991" s="1" t="s">
        <v>224</v>
      </c>
      <c r="E991" s="1" t="s">
        <v>233</v>
      </c>
      <c r="F991" s="1" t="s">
        <v>230</v>
      </c>
      <c r="G991" s="1" t="s">
        <v>231</v>
      </c>
      <c r="H991" s="1" t="s">
        <v>217</v>
      </c>
      <c r="I991" s="1">
        <v>4</v>
      </c>
      <c r="J991" s="1">
        <v>32009</v>
      </c>
      <c r="K991" s="1">
        <v>115232.4</v>
      </c>
      <c r="L991" s="1" t="s">
        <v>222</v>
      </c>
      <c r="M991" s="1">
        <v>10</v>
      </c>
      <c r="N991" s="1">
        <v>20750.04</v>
      </c>
    </row>
    <row r="992" spans="1:14" x14ac:dyDescent="0.25">
      <c r="A992" s="1">
        <v>1991</v>
      </c>
      <c r="B992" s="1" t="s">
        <v>523</v>
      </c>
      <c r="C992" s="1" t="s">
        <v>223</v>
      </c>
      <c r="D992" s="1" t="s">
        <v>245</v>
      </c>
      <c r="E992" s="1" t="s">
        <v>124</v>
      </c>
      <c r="F992" s="1" t="s">
        <v>225</v>
      </c>
      <c r="G992" s="1" t="s">
        <v>248</v>
      </c>
      <c r="H992" s="1" t="s">
        <v>128</v>
      </c>
      <c r="I992" s="1">
        <v>4</v>
      </c>
      <c r="J992" s="1">
        <v>39874</v>
      </c>
      <c r="K992" s="1">
        <v>143546.4</v>
      </c>
      <c r="L992" s="1" t="s">
        <v>240</v>
      </c>
      <c r="M992" s="1">
        <v>10</v>
      </c>
      <c r="N992" s="1">
        <v>35911.519999999997</v>
      </c>
    </row>
    <row r="993" spans="1:14" x14ac:dyDescent="0.25">
      <c r="A993" s="1">
        <v>1992</v>
      </c>
      <c r="B993" s="1" t="s">
        <v>523</v>
      </c>
      <c r="C993" s="1" t="s">
        <v>213</v>
      </c>
      <c r="D993" s="1" t="s">
        <v>232</v>
      </c>
      <c r="E993" s="1" t="s">
        <v>233</v>
      </c>
      <c r="F993" s="1" t="s">
        <v>215</v>
      </c>
      <c r="G993" s="1" t="s">
        <v>246</v>
      </c>
      <c r="H993" s="1" t="s">
        <v>221</v>
      </c>
      <c r="I993" s="1">
        <v>5</v>
      </c>
      <c r="J993" s="1">
        <v>11916</v>
      </c>
      <c r="K993" s="1">
        <v>56601</v>
      </c>
      <c r="L993" s="1" t="s">
        <v>222</v>
      </c>
      <c r="M993" s="1">
        <v>5</v>
      </c>
      <c r="N993" s="1">
        <v>11669.9</v>
      </c>
    </row>
    <row r="994" spans="1:14" x14ac:dyDescent="0.25">
      <c r="A994" s="1">
        <v>1993</v>
      </c>
      <c r="B994" s="1" t="s">
        <v>524</v>
      </c>
      <c r="C994" s="1" t="s">
        <v>239</v>
      </c>
      <c r="D994" s="1" t="s">
        <v>232</v>
      </c>
      <c r="E994" s="1" t="s">
        <v>233</v>
      </c>
      <c r="F994" s="1" t="s">
        <v>215</v>
      </c>
      <c r="G994" s="1" t="s">
        <v>216</v>
      </c>
      <c r="H994" s="1" t="s">
        <v>221</v>
      </c>
      <c r="I994" s="1">
        <v>2</v>
      </c>
      <c r="J994" s="1">
        <v>19820</v>
      </c>
      <c r="K994" s="1">
        <v>35676</v>
      </c>
      <c r="L994" s="1" t="s">
        <v>227</v>
      </c>
      <c r="M994" s="1">
        <v>10</v>
      </c>
      <c r="N994" s="1">
        <v>6752.54</v>
      </c>
    </row>
    <row r="995" spans="1:14" x14ac:dyDescent="0.25">
      <c r="A995" s="1">
        <v>1994</v>
      </c>
      <c r="B995" s="1" t="s">
        <v>524</v>
      </c>
      <c r="C995" s="1" t="s">
        <v>239</v>
      </c>
      <c r="D995" s="1" t="s">
        <v>245</v>
      </c>
      <c r="E995" s="1" t="s">
        <v>124</v>
      </c>
      <c r="F995" s="1" t="s">
        <v>230</v>
      </c>
      <c r="G995" s="1" t="s">
        <v>242</v>
      </c>
      <c r="H995" s="1" t="s">
        <v>128</v>
      </c>
      <c r="I995" s="1">
        <v>3</v>
      </c>
      <c r="J995" s="1">
        <v>2153</v>
      </c>
      <c r="K995" s="1">
        <v>5813.1</v>
      </c>
      <c r="L995" s="1" t="s">
        <v>240</v>
      </c>
      <c r="M995" s="1">
        <v>10</v>
      </c>
      <c r="N995" s="1">
        <v>953.59</v>
      </c>
    </row>
    <row r="996" spans="1:14" x14ac:dyDescent="0.25">
      <c r="A996" s="1">
        <v>1995</v>
      </c>
      <c r="B996" s="1" t="s">
        <v>524</v>
      </c>
      <c r="C996" s="1" t="s">
        <v>239</v>
      </c>
      <c r="D996" s="1" t="s">
        <v>214</v>
      </c>
      <c r="E996" s="1" t="s">
        <v>124</v>
      </c>
      <c r="F996" s="1" t="s">
        <v>230</v>
      </c>
      <c r="G996" s="1" t="s">
        <v>242</v>
      </c>
      <c r="H996" s="1" t="s">
        <v>234</v>
      </c>
      <c r="I996" s="1">
        <v>1</v>
      </c>
      <c r="J996" s="1">
        <v>3170</v>
      </c>
      <c r="K996" s="1">
        <v>2694.5</v>
      </c>
      <c r="L996" s="1" t="s">
        <v>227</v>
      </c>
      <c r="M996" s="1">
        <v>15</v>
      </c>
      <c r="N996" s="1">
        <v>775.23</v>
      </c>
    </row>
    <row r="997" spans="1:14" x14ac:dyDescent="0.25">
      <c r="A997" s="1">
        <v>1996</v>
      </c>
      <c r="B997" s="1" t="s">
        <v>524</v>
      </c>
      <c r="C997" s="1" t="s">
        <v>213</v>
      </c>
      <c r="D997" s="1" t="s">
        <v>220</v>
      </c>
      <c r="E997" s="1" t="s">
        <v>85</v>
      </c>
      <c r="F997" s="1" t="s">
        <v>225</v>
      </c>
      <c r="G997" s="1" t="s">
        <v>226</v>
      </c>
      <c r="H997" s="1" t="s">
        <v>221</v>
      </c>
      <c r="I997" s="1">
        <v>2</v>
      </c>
      <c r="J997" s="1">
        <v>46859</v>
      </c>
      <c r="K997" s="1">
        <v>93718</v>
      </c>
      <c r="L997" s="1" t="s">
        <v>218</v>
      </c>
      <c r="M997" s="1">
        <v>0</v>
      </c>
      <c r="N997" s="1">
        <v>20079.259999999998</v>
      </c>
    </row>
    <row r="998" spans="1:14" x14ac:dyDescent="0.25">
      <c r="A998" s="1">
        <v>1997</v>
      </c>
      <c r="B998" s="1" t="s">
        <v>524</v>
      </c>
      <c r="C998" s="1" t="s">
        <v>219</v>
      </c>
      <c r="D998" s="1" t="s">
        <v>214</v>
      </c>
      <c r="E998" s="1" t="s">
        <v>124</v>
      </c>
      <c r="F998" s="1" t="s">
        <v>225</v>
      </c>
      <c r="G998" s="1" t="s">
        <v>226</v>
      </c>
      <c r="H998" s="1" t="s">
        <v>234</v>
      </c>
      <c r="I998" s="1">
        <v>3</v>
      </c>
      <c r="J998" s="1">
        <v>17934</v>
      </c>
      <c r="K998" s="1">
        <v>51111.9</v>
      </c>
      <c r="L998" s="1" t="s">
        <v>218</v>
      </c>
      <c r="M998" s="1">
        <v>5</v>
      </c>
      <c r="N998" s="1">
        <v>7896.17</v>
      </c>
    </row>
    <row r="999" spans="1:14" x14ac:dyDescent="0.25">
      <c r="A999" s="1">
        <v>1998</v>
      </c>
      <c r="B999" s="1" t="s">
        <v>525</v>
      </c>
      <c r="C999" s="1" t="s">
        <v>239</v>
      </c>
      <c r="D999" s="1" t="s">
        <v>232</v>
      </c>
      <c r="E999" s="1" t="s">
        <v>233</v>
      </c>
      <c r="F999" s="1" t="s">
        <v>215</v>
      </c>
      <c r="G999" s="1" t="s">
        <v>216</v>
      </c>
      <c r="H999" s="1" t="s">
        <v>234</v>
      </c>
      <c r="I999" s="1">
        <v>5</v>
      </c>
      <c r="J999" s="1">
        <v>15415</v>
      </c>
      <c r="K999" s="1">
        <v>73221.25</v>
      </c>
      <c r="L999" s="1" t="s">
        <v>218</v>
      </c>
      <c r="M999" s="1">
        <v>5</v>
      </c>
      <c r="N999" s="1">
        <v>20681.28</v>
      </c>
    </row>
    <row r="1000" spans="1:14" x14ac:dyDescent="0.25">
      <c r="A1000" s="1">
        <v>1999</v>
      </c>
      <c r="B1000" s="1" t="s">
        <v>525</v>
      </c>
      <c r="C1000" s="1" t="s">
        <v>229</v>
      </c>
      <c r="D1000" s="1" t="s">
        <v>214</v>
      </c>
      <c r="E1000" s="1" t="s">
        <v>124</v>
      </c>
      <c r="F1000" s="1" t="s">
        <v>215</v>
      </c>
      <c r="G1000" s="1" t="s">
        <v>216</v>
      </c>
      <c r="H1000" s="1" t="s">
        <v>221</v>
      </c>
      <c r="I1000" s="1">
        <v>4</v>
      </c>
      <c r="J1000" s="1">
        <v>42187</v>
      </c>
      <c r="K1000" s="1">
        <v>160310.6</v>
      </c>
      <c r="L1000" s="1" t="s">
        <v>222</v>
      </c>
      <c r="M1000" s="1">
        <v>5</v>
      </c>
      <c r="N1000" s="1">
        <v>40486.870000000003</v>
      </c>
    </row>
    <row r="1001" spans="1:14" x14ac:dyDescent="0.25">
      <c r="A1001" s="1">
        <v>2000</v>
      </c>
      <c r="B1001" s="1" t="s">
        <v>526</v>
      </c>
      <c r="C1001" s="1" t="s">
        <v>239</v>
      </c>
      <c r="D1001" s="1" t="s">
        <v>214</v>
      </c>
      <c r="E1001" s="1" t="s">
        <v>124</v>
      </c>
      <c r="F1001" s="1" t="s">
        <v>215</v>
      </c>
      <c r="G1001" s="1" t="s">
        <v>216</v>
      </c>
      <c r="H1001" s="1" t="s">
        <v>221</v>
      </c>
      <c r="I1001" s="1">
        <v>3</v>
      </c>
      <c r="J1001" s="1">
        <v>39915</v>
      </c>
      <c r="K1001" s="1">
        <v>101783.25</v>
      </c>
      <c r="L1001" s="1" t="s">
        <v>218</v>
      </c>
      <c r="M1001" s="1">
        <v>15</v>
      </c>
      <c r="N1001" s="1">
        <v>17814.66</v>
      </c>
    </row>
    <row r="1002" spans="1:14" x14ac:dyDescent="0.25">
      <c r="A1002" s="1">
        <v>2001</v>
      </c>
      <c r="B1002" s="1" t="s">
        <v>526</v>
      </c>
      <c r="C1002" s="1" t="s">
        <v>239</v>
      </c>
      <c r="D1002" s="1" t="s">
        <v>224</v>
      </c>
      <c r="E1002" s="1" t="s">
        <v>233</v>
      </c>
      <c r="F1002" s="1" t="s">
        <v>225</v>
      </c>
      <c r="G1002" s="1" t="s">
        <v>226</v>
      </c>
      <c r="H1002" s="1" t="s">
        <v>128</v>
      </c>
      <c r="I1002" s="1">
        <v>5</v>
      </c>
      <c r="J1002" s="1">
        <v>23127</v>
      </c>
      <c r="K1002" s="1">
        <v>98289.75</v>
      </c>
      <c r="L1002" s="1" t="s">
        <v>227</v>
      </c>
      <c r="M1002" s="1">
        <v>15</v>
      </c>
      <c r="N1002" s="1">
        <v>26534.17</v>
      </c>
    </row>
    <row r="1003" spans="1:14" x14ac:dyDescent="0.25">
      <c r="A1003" s="1">
        <v>2002</v>
      </c>
      <c r="B1003" s="1" t="s">
        <v>526</v>
      </c>
      <c r="C1003" s="1" t="s">
        <v>229</v>
      </c>
      <c r="D1003" s="1" t="s">
        <v>224</v>
      </c>
      <c r="E1003" s="1" t="s">
        <v>233</v>
      </c>
      <c r="F1003" s="1" t="s">
        <v>225</v>
      </c>
      <c r="G1003" s="1" t="s">
        <v>226</v>
      </c>
      <c r="H1003" s="1" t="s">
        <v>217</v>
      </c>
      <c r="I1003" s="1">
        <v>1</v>
      </c>
      <c r="J1003" s="1">
        <v>48208</v>
      </c>
      <c r="K1003" s="1">
        <v>45797.599999999999</v>
      </c>
      <c r="L1003" s="1" t="s">
        <v>218</v>
      </c>
      <c r="M1003" s="1">
        <v>5</v>
      </c>
      <c r="N1003" s="1">
        <v>8542.83</v>
      </c>
    </row>
    <row r="1004" spans="1:14" x14ac:dyDescent="0.25">
      <c r="A1004" s="1">
        <v>2003</v>
      </c>
      <c r="B1004" s="1" t="s">
        <v>526</v>
      </c>
      <c r="C1004" s="1" t="s">
        <v>229</v>
      </c>
      <c r="D1004" s="1" t="s">
        <v>245</v>
      </c>
      <c r="E1004" s="1" t="s">
        <v>124</v>
      </c>
      <c r="F1004" s="1" t="s">
        <v>215</v>
      </c>
      <c r="G1004" s="1" t="s">
        <v>244</v>
      </c>
      <c r="H1004" s="1" t="s">
        <v>234</v>
      </c>
      <c r="I1004" s="1">
        <v>4</v>
      </c>
      <c r="J1004" s="1">
        <v>13927</v>
      </c>
      <c r="K1004" s="1">
        <v>52922.6</v>
      </c>
      <c r="L1004" s="1" t="s">
        <v>222</v>
      </c>
      <c r="M1004" s="1">
        <v>5</v>
      </c>
      <c r="N1004" s="1">
        <v>5619.84</v>
      </c>
    </row>
    <row r="1005" spans="1:14" x14ac:dyDescent="0.25">
      <c r="A1005" s="1">
        <v>2004</v>
      </c>
      <c r="B1005" s="1" t="s">
        <v>526</v>
      </c>
      <c r="C1005" s="1" t="s">
        <v>219</v>
      </c>
      <c r="D1005" s="1" t="s">
        <v>245</v>
      </c>
      <c r="E1005" s="1" t="s">
        <v>124</v>
      </c>
      <c r="F1005" s="1" t="s">
        <v>215</v>
      </c>
      <c r="G1005" s="1" t="s">
        <v>246</v>
      </c>
      <c r="H1005" s="1" t="s">
        <v>234</v>
      </c>
      <c r="I1005" s="1">
        <v>3</v>
      </c>
      <c r="J1005" s="1">
        <v>12178</v>
      </c>
      <c r="K1005" s="1">
        <v>34707.300000000003</v>
      </c>
      <c r="L1005" s="1" t="s">
        <v>222</v>
      </c>
      <c r="M1005" s="1">
        <v>5</v>
      </c>
      <c r="N1005" s="1">
        <v>8343.49</v>
      </c>
    </row>
    <row r="1006" spans="1:14" x14ac:dyDescent="0.25">
      <c r="A1006" s="1">
        <v>2005</v>
      </c>
      <c r="B1006" s="1" t="s">
        <v>527</v>
      </c>
      <c r="C1006" s="1" t="s">
        <v>239</v>
      </c>
      <c r="D1006" s="1" t="s">
        <v>214</v>
      </c>
      <c r="E1006" s="1" t="s">
        <v>124</v>
      </c>
      <c r="F1006" s="1" t="s">
        <v>225</v>
      </c>
      <c r="G1006" s="1" t="s">
        <v>226</v>
      </c>
      <c r="H1006" s="1" t="s">
        <v>128</v>
      </c>
      <c r="I1006" s="1">
        <v>2</v>
      </c>
      <c r="J1006" s="1">
        <v>16744</v>
      </c>
      <c r="K1006" s="1">
        <v>30139.200000000001</v>
      </c>
      <c r="L1006" s="1" t="s">
        <v>222</v>
      </c>
      <c r="M1006" s="1">
        <v>10</v>
      </c>
      <c r="N1006" s="1">
        <v>8624.17</v>
      </c>
    </row>
    <row r="1007" spans="1:14" x14ac:dyDescent="0.25">
      <c r="A1007" s="1">
        <v>2006</v>
      </c>
      <c r="B1007" s="1" t="s">
        <v>527</v>
      </c>
      <c r="C1007" s="1" t="s">
        <v>219</v>
      </c>
      <c r="D1007" s="1" t="s">
        <v>245</v>
      </c>
      <c r="E1007" s="1" t="s">
        <v>124</v>
      </c>
      <c r="F1007" s="1" t="s">
        <v>225</v>
      </c>
      <c r="G1007" s="1" t="s">
        <v>226</v>
      </c>
      <c r="H1007" s="1" t="s">
        <v>221</v>
      </c>
      <c r="I1007" s="1">
        <v>2</v>
      </c>
      <c r="J1007" s="1">
        <v>5080</v>
      </c>
      <c r="K1007" s="1">
        <v>9144</v>
      </c>
      <c r="L1007" s="1" t="s">
        <v>227</v>
      </c>
      <c r="M1007" s="1">
        <v>10</v>
      </c>
      <c r="N1007" s="1">
        <v>1628.35</v>
      </c>
    </row>
    <row r="1008" spans="1:14" x14ac:dyDescent="0.25">
      <c r="A1008" s="1">
        <v>2007</v>
      </c>
      <c r="B1008" s="1" t="s">
        <v>527</v>
      </c>
      <c r="C1008" s="1" t="s">
        <v>219</v>
      </c>
      <c r="D1008" s="1" t="s">
        <v>232</v>
      </c>
      <c r="E1008" s="1" t="s">
        <v>233</v>
      </c>
      <c r="F1008" s="1" t="s">
        <v>230</v>
      </c>
      <c r="G1008" s="1" t="s">
        <v>241</v>
      </c>
      <c r="H1008" s="1" t="s">
        <v>217</v>
      </c>
      <c r="I1008" s="1">
        <v>5</v>
      </c>
      <c r="J1008" s="1">
        <v>2258</v>
      </c>
      <c r="K1008" s="1">
        <v>9596.5</v>
      </c>
      <c r="L1008" s="1" t="s">
        <v>227</v>
      </c>
      <c r="M1008" s="1">
        <v>15</v>
      </c>
      <c r="N1008" s="1">
        <v>1179.9100000000001</v>
      </c>
    </row>
    <row r="1009" spans="1:14" x14ac:dyDescent="0.25">
      <c r="A1009" s="1">
        <v>2008</v>
      </c>
      <c r="B1009" s="1" t="s">
        <v>527</v>
      </c>
      <c r="C1009" s="1" t="s">
        <v>239</v>
      </c>
      <c r="D1009" s="1" t="s">
        <v>245</v>
      </c>
      <c r="E1009" s="1" t="s">
        <v>124</v>
      </c>
      <c r="F1009" s="1" t="s">
        <v>230</v>
      </c>
      <c r="G1009" s="1" t="s">
        <v>231</v>
      </c>
      <c r="H1009" s="1" t="s">
        <v>217</v>
      </c>
      <c r="I1009" s="1">
        <v>3</v>
      </c>
      <c r="J1009" s="1">
        <v>48751</v>
      </c>
      <c r="K1009" s="1">
        <v>146253</v>
      </c>
      <c r="L1009" s="1" t="s">
        <v>218</v>
      </c>
      <c r="M1009" s="1">
        <v>0</v>
      </c>
      <c r="N1009" s="1">
        <v>21967.43</v>
      </c>
    </row>
    <row r="1010" spans="1:14" x14ac:dyDescent="0.25">
      <c r="A1010" s="1">
        <v>2009</v>
      </c>
      <c r="B1010" s="1" t="s">
        <v>527</v>
      </c>
      <c r="C1010" s="1" t="s">
        <v>229</v>
      </c>
      <c r="D1010" s="1" t="s">
        <v>214</v>
      </c>
      <c r="E1010" s="1" t="s">
        <v>124</v>
      </c>
      <c r="F1010" s="1" t="s">
        <v>225</v>
      </c>
      <c r="G1010" s="1" t="s">
        <v>236</v>
      </c>
      <c r="H1010" s="1" t="s">
        <v>217</v>
      </c>
      <c r="I1010" s="1">
        <v>3</v>
      </c>
      <c r="J1010" s="1">
        <v>28823</v>
      </c>
      <c r="K1010" s="1">
        <v>77822.100000000006</v>
      </c>
      <c r="L1010" s="1" t="s">
        <v>227</v>
      </c>
      <c r="M1010" s="1">
        <v>10</v>
      </c>
      <c r="N1010" s="1">
        <v>8418.18</v>
      </c>
    </row>
    <row r="1011" spans="1:14" x14ac:dyDescent="0.25">
      <c r="A1011" s="1">
        <v>2010</v>
      </c>
      <c r="B1011" s="1" t="s">
        <v>528</v>
      </c>
      <c r="C1011" s="1" t="s">
        <v>219</v>
      </c>
      <c r="D1011" s="1" t="s">
        <v>245</v>
      </c>
      <c r="E1011" s="1" t="s">
        <v>124</v>
      </c>
      <c r="F1011" s="1" t="s">
        <v>230</v>
      </c>
      <c r="G1011" s="1" t="s">
        <v>241</v>
      </c>
      <c r="H1011" s="1" t="s">
        <v>128</v>
      </c>
      <c r="I1011" s="1">
        <v>5</v>
      </c>
      <c r="J1011" s="1">
        <v>4737</v>
      </c>
      <c r="K1011" s="1">
        <v>21316.5</v>
      </c>
      <c r="L1011" s="1" t="s">
        <v>240</v>
      </c>
      <c r="M1011" s="1">
        <v>10</v>
      </c>
      <c r="N1011" s="1">
        <v>2418.42</v>
      </c>
    </row>
    <row r="1012" spans="1:14" x14ac:dyDescent="0.25">
      <c r="A1012" s="1">
        <v>2011</v>
      </c>
      <c r="B1012" s="1" t="s">
        <v>528</v>
      </c>
      <c r="C1012" s="1" t="s">
        <v>219</v>
      </c>
      <c r="D1012" s="1" t="s">
        <v>214</v>
      </c>
      <c r="E1012" s="1" t="s">
        <v>124</v>
      </c>
      <c r="F1012" s="1" t="s">
        <v>215</v>
      </c>
      <c r="G1012" s="1" t="s">
        <v>244</v>
      </c>
      <c r="H1012" s="1" t="s">
        <v>221</v>
      </c>
      <c r="I1012" s="1">
        <v>4</v>
      </c>
      <c r="J1012" s="1">
        <v>7577</v>
      </c>
      <c r="K1012" s="1">
        <v>25761.8</v>
      </c>
      <c r="L1012" s="1" t="s">
        <v>218</v>
      </c>
      <c r="M1012" s="1">
        <v>15</v>
      </c>
      <c r="N1012" s="1">
        <v>3793.03</v>
      </c>
    </row>
    <row r="1013" spans="1:14" x14ac:dyDescent="0.25">
      <c r="A1013" s="1">
        <v>2012</v>
      </c>
      <c r="B1013" s="1" t="s">
        <v>528</v>
      </c>
      <c r="C1013" s="1" t="s">
        <v>223</v>
      </c>
      <c r="D1013" s="1" t="s">
        <v>224</v>
      </c>
      <c r="E1013" s="1" t="s">
        <v>233</v>
      </c>
      <c r="F1013" s="1" t="s">
        <v>230</v>
      </c>
      <c r="G1013" s="1" t="s">
        <v>241</v>
      </c>
      <c r="H1013" s="1" t="s">
        <v>234</v>
      </c>
      <c r="I1013" s="1">
        <v>5</v>
      </c>
      <c r="J1013" s="1">
        <v>44686</v>
      </c>
      <c r="K1013" s="1">
        <v>189915.5</v>
      </c>
      <c r="L1013" s="1" t="s">
        <v>227</v>
      </c>
      <c r="M1013" s="1">
        <v>15</v>
      </c>
      <c r="N1013" s="1">
        <v>30275.52</v>
      </c>
    </row>
    <row r="1014" spans="1:14" x14ac:dyDescent="0.25">
      <c r="A1014" s="1">
        <v>2013</v>
      </c>
      <c r="B1014" s="1" t="s">
        <v>528</v>
      </c>
      <c r="C1014" s="1" t="s">
        <v>213</v>
      </c>
      <c r="D1014" s="1" t="s">
        <v>245</v>
      </c>
      <c r="E1014" s="1" t="s">
        <v>124</v>
      </c>
      <c r="F1014" s="1" t="s">
        <v>215</v>
      </c>
      <c r="G1014" s="1" t="s">
        <v>216</v>
      </c>
      <c r="H1014" s="1" t="s">
        <v>234</v>
      </c>
      <c r="I1014" s="1">
        <v>2</v>
      </c>
      <c r="J1014" s="1">
        <v>26929</v>
      </c>
      <c r="K1014" s="1">
        <v>53858</v>
      </c>
      <c r="L1014" s="1" t="s">
        <v>218</v>
      </c>
      <c r="M1014" s="1">
        <v>0</v>
      </c>
      <c r="N1014" s="1">
        <v>15041.86</v>
      </c>
    </row>
    <row r="1015" spans="1:14" x14ac:dyDescent="0.25">
      <c r="A1015" s="1">
        <v>2014</v>
      </c>
      <c r="B1015" s="1" t="s">
        <v>528</v>
      </c>
      <c r="C1015" s="1" t="s">
        <v>229</v>
      </c>
      <c r="D1015" s="1" t="s">
        <v>224</v>
      </c>
      <c r="E1015" s="1" t="s">
        <v>233</v>
      </c>
      <c r="F1015" s="1" t="s">
        <v>225</v>
      </c>
      <c r="G1015" s="1" t="s">
        <v>226</v>
      </c>
      <c r="H1015" s="1" t="s">
        <v>221</v>
      </c>
      <c r="I1015" s="1">
        <v>5</v>
      </c>
      <c r="J1015" s="1">
        <v>14927</v>
      </c>
      <c r="K1015" s="1">
        <v>70903.25</v>
      </c>
      <c r="L1015" s="1" t="s">
        <v>227</v>
      </c>
      <c r="M1015" s="1">
        <v>5</v>
      </c>
      <c r="N1015" s="1">
        <v>14560.58</v>
      </c>
    </row>
    <row r="1016" spans="1:14" x14ac:dyDescent="0.25">
      <c r="A1016" s="1">
        <v>2015</v>
      </c>
      <c r="B1016" s="1" t="s">
        <v>529</v>
      </c>
      <c r="C1016" s="1" t="s">
        <v>223</v>
      </c>
      <c r="D1016" s="1" t="s">
        <v>224</v>
      </c>
      <c r="E1016" s="1" t="s">
        <v>233</v>
      </c>
      <c r="F1016" s="1" t="s">
        <v>225</v>
      </c>
      <c r="G1016" s="1" t="s">
        <v>236</v>
      </c>
      <c r="H1016" s="1" t="s">
        <v>221</v>
      </c>
      <c r="I1016" s="1">
        <v>3</v>
      </c>
      <c r="J1016" s="1">
        <v>32549</v>
      </c>
      <c r="K1016" s="1">
        <v>92764.65</v>
      </c>
      <c r="L1016" s="1" t="s">
        <v>227</v>
      </c>
      <c r="M1016" s="1">
        <v>5</v>
      </c>
      <c r="N1016" s="1">
        <v>9642.8799999999992</v>
      </c>
    </row>
    <row r="1017" spans="1:14" x14ac:dyDescent="0.25">
      <c r="A1017" s="1">
        <v>2016</v>
      </c>
      <c r="B1017" s="1" t="s">
        <v>529</v>
      </c>
      <c r="C1017" s="1" t="s">
        <v>239</v>
      </c>
      <c r="D1017" s="1" t="s">
        <v>232</v>
      </c>
      <c r="E1017" s="1" t="s">
        <v>233</v>
      </c>
      <c r="F1017" s="1" t="s">
        <v>215</v>
      </c>
      <c r="G1017" s="1" t="s">
        <v>246</v>
      </c>
      <c r="H1017" s="1" t="s">
        <v>217</v>
      </c>
      <c r="I1017" s="1">
        <v>5</v>
      </c>
      <c r="J1017" s="1">
        <v>29831</v>
      </c>
      <c r="K1017" s="1">
        <v>126781.75</v>
      </c>
      <c r="L1017" s="1" t="s">
        <v>240</v>
      </c>
      <c r="M1017" s="1">
        <v>15</v>
      </c>
      <c r="N1017" s="1">
        <v>31405.759999999998</v>
      </c>
    </row>
    <row r="1018" spans="1:14" x14ac:dyDescent="0.25">
      <c r="A1018" s="1">
        <v>2017</v>
      </c>
      <c r="B1018" s="1" t="s">
        <v>530</v>
      </c>
      <c r="C1018" s="1" t="s">
        <v>239</v>
      </c>
      <c r="D1018" s="1" t="s">
        <v>232</v>
      </c>
      <c r="E1018" s="1" t="s">
        <v>233</v>
      </c>
      <c r="F1018" s="1" t="s">
        <v>230</v>
      </c>
      <c r="G1018" s="1" t="s">
        <v>242</v>
      </c>
      <c r="H1018" s="1" t="s">
        <v>221</v>
      </c>
      <c r="I1018" s="1">
        <v>5</v>
      </c>
      <c r="J1018" s="1">
        <v>39954</v>
      </c>
      <c r="K1018" s="1">
        <v>169804.5</v>
      </c>
      <c r="L1018" s="1" t="s">
        <v>218</v>
      </c>
      <c r="M1018" s="1">
        <v>15</v>
      </c>
      <c r="N1018" s="1">
        <v>22532.720000000001</v>
      </c>
    </row>
    <row r="1019" spans="1:14" x14ac:dyDescent="0.25">
      <c r="A1019" s="1">
        <v>2018</v>
      </c>
      <c r="B1019" s="1" t="s">
        <v>530</v>
      </c>
      <c r="C1019" s="1" t="s">
        <v>219</v>
      </c>
      <c r="D1019" s="1" t="s">
        <v>220</v>
      </c>
      <c r="E1019" s="1" t="s">
        <v>85</v>
      </c>
      <c r="F1019" s="1" t="s">
        <v>230</v>
      </c>
      <c r="G1019" s="1" t="s">
        <v>242</v>
      </c>
      <c r="H1019" s="1" t="s">
        <v>221</v>
      </c>
      <c r="I1019" s="1">
        <v>5</v>
      </c>
      <c r="J1019" s="1">
        <v>43227</v>
      </c>
      <c r="K1019" s="1">
        <v>183714.75</v>
      </c>
      <c r="L1019" s="1" t="s">
        <v>222</v>
      </c>
      <c r="M1019" s="1">
        <v>15</v>
      </c>
      <c r="N1019" s="1">
        <v>34315.339999999997</v>
      </c>
    </row>
    <row r="1020" spans="1:14" x14ac:dyDescent="0.25">
      <c r="A1020" s="1">
        <v>2019</v>
      </c>
      <c r="B1020" s="1" t="s">
        <v>530</v>
      </c>
      <c r="C1020" s="1" t="s">
        <v>223</v>
      </c>
      <c r="D1020" s="1" t="s">
        <v>224</v>
      </c>
      <c r="E1020" s="1" t="s">
        <v>233</v>
      </c>
      <c r="F1020" s="1" t="s">
        <v>230</v>
      </c>
      <c r="G1020" s="1" t="s">
        <v>242</v>
      </c>
      <c r="H1020" s="1" t="s">
        <v>221</v>
      </c>
      <c r="I1020" s="1">
        <v>5</v>
      </c>
      <c r="J1020" s="1">
        <v>29628</v>
      </c>
      <c r="K1020" s="1">
        <v>148140</v>
      </c>
      <c r="L1020" s="1" t="s">
        <v>227</v>
      </c>
      <c r="M1020" s="1">
        <v>0</v>
      </c>
      <c r="N1020" s="1">
        <v>20894.060000000001</v>
      </c>
    </row>
    <row r="1021" spans="1:14" x14ac:dyDescent="0.25">
      <c r="A1021" s="1">
        <v>2020</v>
      </c>
      <c r="B1021" s="1" t="s">
        <v>531</v>
      </c>
      <c r="C1021" s="1" t="s">
        <v>213</v>
      </c>
      <c r="D1021" s="1" t="s">
        <v>232</v>
      </c>
      <c r="E1021" s="1" t="s">
        <v>233</v>
      </c>
      <c r="F1021" s="1" t="s">
        <v>230</v>
      </c>
      <c r="G1021" s="1" t="s">
        <v>231</v>
      </c>
      <c r="H1021" s="1" t="s">
        <v>217</v>
      </c>
      <c r="I1021" s="1">
        <v>1</v>
      </c>
      <c r="J1021" s="1">
        <v>1382</v>
      </c>
      <c r="K1021" s="1">
        <v>1382</v>
      </c>
      <c r="L1021" s="1" t="s">
        <v>222</v>
      </c>
      <c r="M1021" s="1">
        <v>0</v>
      </c>
      <c r="N1021" s="1">
        <v>329.2</v>
      </c>
    </row>
    <row r="1022" spans="1:14" x14ac:dyDescent="0.25">
      <c r="A1022" s="1">
        <v>2021</v>
      </c>
      <c r="B1022" s="1" t="s">
        <v>531</v>
      </c>
      <c r="C1022" s="1" t="s">
        <v>239</v>
      </c>
      <c r="D1022" s="1" t="s">
        <v>232</v>
      </c>
      <c r="E1022" s="1" t="s">
        <v>233</v>
      </c>
      <c r="F1022" s="1" t="s">
        <v>230</v>
      </c>
      <c r="G1022" s="1" t="s">
        <v>241</v>
      </c>
      <c r="H1022" s="1" t="s">
        <v>217</v>
      </c>
      <c r="I1022" s="1">
        <v>5</v>
      </c>
      <c r="J1022" s="1">
        <v>9135</v>
      </c>
      <c r="K1022" s="1">
        <v>45675</v>
      </c>
      <c r="L1022" s="1" t="s">
        <v>222</v>
      </c>
      <c r="M1022" s="1">
        <v>0</v>
      </c>
      <c r="N1022" s="1">
        <v>10245.540000000001</v>
      </c>
    </row>
    <row r="1023" spans="1:14" x14ac:dyDescent="0.25">
      <c r="A1023" s="1">
        <v>2022</v>
      </c>
      <c r="B1023" s="1" t="s">
        <v>531</v>
      </c>
      <c r="C1023" s="1" t="s">
        <v>239</v>
      </c>
      <c r="D1023" s="1" t="s">
        <v>224</v>
      </c>
      <c r="E1023" s="1" t="s">
        <v>233</v>
      </c>
      <c r="F1023" s="1" t="s">
        <v>230</v>
      </c>
      <c r="G1023" s="1" t="s">
        <v>241</v>
      </c>
      <c r="H1023" s="1" t="s">
        <v>128</v>
      </c>
      <c r="I1023" s="1">
        <v>4</v>
      </c>
      <c r="J1023" s="1">
        <v>46652</v>
      </c>
      <c r="K1023" s="1">
        <v>177277.6</v>
      </c>
      <c r="L1023" s="1" t="s">
        <v>240</v>
      </c>
      <c r="M1023" s="1">
        <v>5</v>
      </c>
      <c r="N1023" s="1">
        <v>50132.51</v>
      </c>
    </row>
    <row r="1024" spans="1:14" x14ac:dyDescent="0.25">
      <c r="A1024" s="1">
        <v>2023</v>
      </c>
      <c r="B1024" s="1" t="s">
        <v>531</v>
      </c>
      <c r="C1024" s="1" t="s">
        <v>219</v>
      </c>
      <c r="D1024" s="1" t="s">
        <v>220</v>
      </c>
      <c r="E1024" s="1" t="s">
        <v>85</v>
      </c>
      <c r="F1024" s="1" t="s">
        <v>230</v>
      </c>
      <c r="G1024" s="1" t="s">
        <v>231</v>
      </c>
      <c r="H1024" s="1" t="s">
        <v>221</v>
      </c>
      <c r="I1024" s="1">
        <v>3</v>
      </c>
      <c r="J1024" s="1">
        <v>1324</v>
      </c>
      <c r="K1024" s="1">
        <v>3376.2</v>
      </c>
      <c r="L1024" s="1" t="s">
        <v>227</v>
      </c>
      <c r="M1024" s="1">
        <v>15</v>
      </c>
      <c r="N1024" s="1">
        <v>573.79999999999995</v>
      </c>
    </row>
    <row r="1025" spans="1:14" x14ac:dyDescent="0.25">
      <c r="A1025" s="1">
        <v>2024</v>
      </c>
      <c r="B1025" s="1" t="s">
        <v>532</v>
      </c>
      <c r="C1025" s="1" t="s">
        <v>219</v>
      </c>
      <c r="D1025" s="1" t="s">
        <v>245</v>
      </c>
      <c r="E1025" s="1" t="s">
        <v>124</v>
      </c>
      <c r="F1025" s="1" t="s">
        <v>230</v>
      </c>
      <c r="G1025" s="1" t="s">
        <v>231</v>
      </c>
      <c r="H1025" s="1" t="s">
        <v>234</v>
      </c>
      <c r="I1025" s="1">
        <v>5</v>
      </c>
      <c r="J1025" s="1">
        <v>43489</v>
      </c>
      <c r="K1025" s="1">
        <v>195700.5</v>
      </c>
      <c r="L1025" s="1" t="s">
        <v>240</v>
      </c>
      <c r="M1025" s="1">
        <v>10</v>
      </c>
      <c r="N1025" s="1">
        <v>51773.84</v>
      </c>
    </row>
    <row r="1026" spans="1:14" x14ac:dyDescent="0.25">
      <c r="A1026" s="1">
        <v>2025</v>
      </c>
      <c r="B1026" s="1" t="s">
        <v>532</v>
      </c>
      <c r="C1026" s="1" t="s">
        <v>223</v>
      </c>
      <c r="D1026" s="1" t="s">
        <v>232</v>
      </c>
      <c r="E1026" s="1" t="s">
        <v>233</v>
      </c>
      <c r="F1026" s="1" t="s">
        <v>215</v>
      </c>
      <c r="G1026" s="1" t="s">
        <v>216</v>
      </c>
      <c r="H1026" s="1" t="s">
        <v>221</v>
      </c>
      <c r="I1026" s="1">
        <v>4</v>
      </c>
      <c r="J1026" s="1">
        <v>26282</v>
      </c>
      <c r="K1026" s="1">
        <v>99871.6</v>
      </c>
      <c r="L1026" s="1" t="s">
        <v>218</v>
      </c>
      <c r="M1026" s="1">
        <v>5</v>
      </c>
      <c r="N1026" s="1">
        <v>26121.79</v>
      </c>
    </row>
    <row r="1027" spans="1:14" x14ac:dyDescent="0.25">
      <c r="A1027" s="1">
        <v>2026</v>
      </c>
      <c r="B1027" s="1" t="s">
        <v>533</v>
      </c>
      <c r="C1027" s="1" t="s">
        <v>223</v>
      </c>
      <c r="D1027" s="1" t="s">
        <v>220</v>
      </c>
      <c r="E1027" s="1" t="s">
        <v>85</v>
      </c>
      <c r="F1027" s="1" t="s">
        <v>230</v>
      </c>
      <c r="G1027" s="1" t="s">
        <v>241</v>
      </c>
      <c r="H1027" s="1" t="s">
        <v>217</v>
      </c>
      <c r="I1027" s="1">
        <v>4</v>
      </c>
      <c r="J1027" s="1">
        <v>27869</v>
      </c>
      <c r="K1027" s="1">
        <v>105902.2</v>
      </c>
      <c r="L1027" s="1" t="s">
        <v>222</v>
      </c>
      <c r="M1027" s="1">
        <v>5</v>
      </c>
      <c r="N1027" s="1">
        <v>20030.5</v>
      </c>
    </row>
    <row r="1028" spans="1:14" x14ac:dyDescent="0.25">
      <c r="A1028" s="1">
        <v>2027</v>
      </c>
      <c r="B1028" s="1" t="s">
        <v>533</v>
      </c>
      <c r="C1028" s="1" t="s">
        <v>219</v>
      </c>
      <c r="D1028" s="1" t="s">
        <v>245</v>
      </c>
      <c r="E1028" s="1" t="s">
        <v>124</v>
      </c>
      <c r="F1028" s="1" t="s">
        <v>215</v>
      </c>
      <c r="G1028" s="1" t="s">
        <v>246</v>
      </c>
      <c r="H1028" s="1" t="s">
        <v>128</v>
      </c>
      <c r="I1028" s="1">
        <v>2</v>
      </c>
      <c r="J1028" s="1">
        <v>44815</v>
      </c>
      <c r="K1028" s="1">
        <v>80667</v>
      </c>
      <c r="L1028" s="1" t="s">
        <v>227</v>
      </c>
      <c r="M1028" s="1">
        <v>10</v>
      </c>
      <c r="N1028" s="1">
        <v>22814.560000000001</v>
      </c>
    </row>
    <row r="1029" spans="1:14" x14ac:dyDescent="0.25">
      <c r="A1029" s="1">
        <v>2028</v>
      </c>
      <c r="B1029" s="1" t="s">
        <v>534</v>
      </c>
      <c r="C1029" s="1" t="s">
        <v>223</v>
      </c>
      <c r="D1029" s="1" t="s">
        <v>224</v>
      </c>
      <c r="E1029" s="1" t="s">
        <v>233</v>
      </c>
      <c r="F1029" s="1" t="s">
        <v>215</v>
      </c>
      <c r="G1029" s="1" t="s">
        <v>244</v>
      </c>
      <c r="H1029" s="1" t="s">
        <v>217</v>
      </c>
      <c r="I1029" s="1">
        <v>2</v>
      </c>
      <c r="J1029" s="1">
        <v>40699</v>
      </c>
      <c r="K1029" s="1">
        <v>77328.100000000006</v>
      </c>
      <c r="L1029" s="1" t="s">
        <v>222</v>
      </c>
      <c r="M1029" s="1">
        <v>5</v>
      </c>
      <c r="N1029" s="1">
        <v>20406.150000000001</v>
      </c>
    </row>
    <row r="1030" spans="1:14" x14ac:dyDescent="0.25">
      <c r="A1030" s="1">
        <v>2029</v>
      </c>
      <c r="B1030" s="1" t="s">
        <v>534</v>
      </c>
      <c r="C1030" s="1" t="s">
        <v>239</v>
      </c>
      <c r="D1030" s="1" t="s">
        <v>232</v>
      </c>
      <c r="E1030" s="1" t="s">
        <v>233</v>
      </c>
      <c r="F1030" s="1" t="s">
        <v>215</v>
      </c>
      <c r="G1030" s="1" t="s">
        <v>246</v>
      </c>
      <c r="H1030" s="1" t="s">
        <v>128</v>
      </c>
      <c r="I1030" s="1">
        <v>3</v>
      </c>
      <c r="J1030" s="1">
        <v>11859</v>
      </c>
      <c r="K1030" s="1">
        <v>35577</v>
      </c>
      <c r="L1030" s="1" t="s">
        <v>222</v>
      </c>
      <c r="M1030" s="1">
        <v>0</v>
      </c>
      <c r="N1030" s="1">
        <v>6286.01</v>
      </c>
    </row>
    <row r="1031" spans="1:14" x14ac:dyDescent="0.25">
      <c r="A1031" s="1">
        <v>2030</v>
      </c>
      <c r="B1031" s="1" t="s">
        <v>535</v>
      </c>
      <c r="C1031" s="1" t="s">
        <v>239</v>
      </c>
      <c r="D1031" s="1" t="s">
        <v>232</v>
      </c>
      <c r="E1031" s="1" t="s">
        <v>233</v>
      </c>
      <c r="F1031" s="1" t="s">
        <v>225</v>
      </c>
      <c r="G1031" s="1" t="s">
        <v>248</v>
      </c>
      <c r="H1031" s="1" t="s">
        <v>128</v>
      </c>
      <c r="I1031" s="1">
        <v>4</v>
      </c>
      <c r="J1031" s="1">
        <v>31051</v>
      </c>
      <c r="K1031" s="1">
        <v>117993.8</v>
      </c>
      <c r="L1031" s="1" t="s">
        <v>240</v>
      </c>
      <c r="M1031" s="1">
        <v>5</v>
      </c>
      <c r="N1031" s="1">
        <v>32701.57</v>
      </c>
    </row>
    <row r="1032" spans="1:14" x14ac:dyDescent="0.25">
      <c r="A1032" s="1">
        <v>2031</v>
      </c>
      <c r="B1032" s="1" t="s">
        <v>535</v>
      </c>
      <c r="C1032" s="1" t="s">
        <v>219</v>
      </c>
      <c r="D1032" s="1" t="s">
        <v>232</v>
      </c>
      <c r="E1032" s="1" t="s">
        <v>233</v>
      </c>
      <c r="F1032" s="1" t="s">
        <v>215</v>
      </c>
      <c r="G1032" s="1" t="s">
        <v>216</v>
      </c>
      <c r="H1032" s="1" t="s">
        <v>217</v>
      </c>
      <c r="I1032" s="1">
        <v>3</v>
      </c>
      <c r="J1032" s="1">
        <v>5256</v>
      </c>
      <c r="K1032" s="1">
        <v>13402.8</v>
      </c>
      <c r="L1032" s="1" t="s">
        <v>222</v>
      </c>
      <c r="M1032" s="1">
        <v>15</v>
      </c>
      <c r="N1032" s="1">
        <v>1744.78</v>
      </c>
    </row>
    <row r="1033" spans="1:14" x14ac:dyDescent="0.25">
      <c r="A1033" s="1">
        <v>2032</v>
      </c>
      <c r="B1033" s="1" t="s">
        <v>535</v>
      </c>
      <c r="C1033" s="1" t="s">
        <v>213</v>
      </c>
      <c r="D1033" s="1" t="s">
        <v>224</v>
      </c>
      <c r="E1033" s="1" t="s">
        <v>233</v>
      </c>
      <c r="F1033" s="1" t="s">
        <v>230</v>
      </c>
      <c r="G1033" s="1" t="s">
        <v>241</v>
      </c>
      <c r="H1033" s="1" t="s">
        <v>221</v>
      </c>
      <c r="I1033" s="1">
        <v>4</v>
      </c>
      <c r="J1033" s="1">
        <v>3138</v>
      </c>
      <c r="K1033" s="1">
        <v>12552</v>
      </c>
      <c r="L1033" s="1" t="s">
        <v>218</v>
      </c>
      <c r="M1033" s="1">
        <v>0</v>
      </c>
      <c r="N1033" s="1">
        <v>2078.34</v>
      </c>
    </row>
    <row r="1034" spans="1:14" x14ac:dyDescent="0.25">
      <c r="A1034" s="1">
        <v>2033</v>
      </c>
      <c r="B1034" s="1" t="s">
        <v>535</v>
      </c>
      <c r="C1034" s="1" t="s">
        <v>223</v>
      </c>
      <c r="D1034" s="1" t="s">
        <v>224</v>
      </c>
      <c r="E1034" s="1" t="s">
        <v>233</v>
      </c>
      <c r="F1034" s="1" t="s">
        <v>230</v>
      </c>
      <c r="G1034" s="1" t="s">
        <v>231</v>
      </c>
      <c r="H1034" s="1" t="s">
        <v>128</v>
      </c>
      <c r="I1034" s="1">
        <v>1</v>
      </c>
      <c r="J1034" s="1">
        <v>35163</v>
      </c>
      <c r="K1034" s="1">
        <v>29888.55</v>
      </c>
      <c r="L1034" s="1" t="s">
        <v>240</v>
      </c>
      <c r="M1034" s="1">
        <v>15</v>
      </c>
      <c r="N1034" s="1">
        <v>7009.34</v>
      </c>
    </row>
    <row r="1035" spans="1:14" x14ac:dyDescent="0.25">
      <c r="A1035" s="1">
        <v>2034</v>
      </c>
      <c r="B1035" s="1" t="s">
        <v>535</v>
      </c>
      <c r="C1035" s="1" t="s">
        <v>219</v>
      </c>
      <c r="D1035" s="1" t="s">
        <v>220</v>
      </c>
      <c r="E1035" s="1" t="s">
        <v>85</v>
      </c>
      <c r="F1035" s="1" t="s">
        <v>215</v>
      </c>
      <c r="G1035" s="1" t="s">
        <v>244</v>
      </c>
      <c r="H1035" s="1" t="s">
        <v>234</v>
      </c>
      <c r="I1035" s="1">
        <v>1</v>
      </c>
      <c r="J1035" s="1">
        <v>577</v>
      </c>
      <c r="K1035" s="1">
        <v>577</v>
      </c>
      <c r="L1035" s="1" t="s">
        <v>218</v>
      </c>
      <c r="M1035" s="1">
        <v>0</v>
      </c>
      <c r="N1035" s="1">
        <v>131.71</v>
      </c>
    </row>
    <row r="1036" spans="1:14" x14ac:dyDescent="0.25">
      <c r="A1036" s="1">
        <v>2035</v>
      </c>
      <c r="B1036" s="1" t="s">
        <v>536</v>
      </c>
      <c r="C1036" s="1" t="s">
        <v>239</v>
      </c>
      <c r="D1036" s="1" t="s">
        <v>220</v>
      </c>
      <c r="E1036" s="1" t="s">
        <v>85</v>
      </c>
      <c r="F1036" s="1" t="s">
        <v>230</v>
      </c>
      <c r="G1036" s="1" t="s">
        <v>241</v>
      </c>
      <c r="H1036" s="1" t="s">
        <v>128</v>
      </c>
      <c r="I1036" s="1">
        <v>2</v>
      </c>
      <c r="J1036" s="1">
        <v>46777</v>
      </c>
      <c r="K1036" s="1">
        <v>84198.6</v>
      </c>
      <c r="L1036" s="1" t="s">
        <v>222</v>
      </c>
      <c r="M1036" s="1">
        <v>10</v>
      </c>
      <c r="N1036" s="1">
        <v>21409.05</v>
      </c>
    </row>
    <row r="1037" spans="1:14" x14ac:dyDescent="0.25">
      <c r="A1037" s="1">
        <v>2036</v>
      </c>
      <c r="B1037" s="1" t="s">
        <v>536</v>
      </c>
      <c r="C1037" s="1" t="s">
        <v>223</v>
      </c>
      <c r="D1037" s="1" t="s">
        <v>214</v>
      </c>
      <c r="E1037" s="1" t="s">
        <v>124</v>
      </c>
      <c r="F1037" s="1" t="s">
        <v>230</v>
      </c>
      <c r="G1037" s="1" t="s">
        <v>242</v>
      </c>
      <c r="H1037" s="1" t="s">
        <v>234</v>
      </c>
      <c r="I1037" s="1">
        <v>3</v>
      </c>
      <c r="J1037" s="1">
        <v>29594</v>
      </c>
      <c r="K1037" s="1">
        <v>88782</v>
      </c>
      <c r="L1037" s="1" t="s">
        <v>218</v>
      </c>
      <c r="M1037" s="1">
        <v>0</v>
      </c>
      <c r="N1037" s="1">
        <v>11668.75</v>
      </c>
    </row>
    <row r="1038" spans="1:14" x14ac:dyDescent="0.25">
      <c r="A1038" s="1">
        <v>2037</v>
      </c>
      <c r="B1038" s="1" t="s">
        <v>536</v>
      </c>
      <c r="C1038" s="1" t="s">
        <v>229</v>
      </c>
      <c r="D1038" s="1" t="s">
        <v>224</v>
      </c>
      <c r="E1038" s="1" t="s">
        <v>233</v>
      </c>
      <c r="F1038" s="1" t="s">
        <v>215</v>
      </c>
      <c r="G1038" s="1" t="s">
        <v>216</v>
      </c>
      <c r="H1038" s="1" t="s">
        <v>234</v>
      </c>
      <c r="I1038" s="1">
        <v>3</v>
      </c>
      <c r="J1038" s="1">
        <v>41010</v>
      </c>
      <c r="K1038" s="1">
        <v>116878.5</v>
      </c>
      <c r="L1038" s="1" t="s">
        <v>218</v>
      </c>
      <c r="M1038" s="1">
        <v>5</v>
      </c>
      <c r="N1038" s="1">
        <v>35059.879999999997</v>
      </c>
    </row>
    <row r="1039" spans="1:14" x14ac:dyDescent="0.25">
      <c r="A1039" s="1">
        <v>2038</v>
      </c>
      <c r="B1039" s="1" t="s">
        <v>536</v>
      </c>
      <c r="C1039" s="1" t="s">
        <v>239</v>
      </c>
      <c r="D1039" s="1" t="s">
        <v>224</v>
      </c>
      <c r="E1039" s="1" t="s">
        <v>233</v>
      </c>
      <c r="F1039" s="1" t="s">
        <v>225</v>
      </c>
      <c r="G1039" s="1" t="s">
        <v>226</v>
      </c>
      <c r="H1039" s="1" t="s">
        <v>128</v>
      </c>
      <c r="I1039" s="1">
        <v>3</v>
      </c>
      <c r="J1039" s="1">
        <v>29430</v>
      </c>
      <c r="K1039" s="1">
        <v>88290</v>
      </c>
      <c r="L1039" s="1" t="s">
        <v>222</v>
      </c>
      <c r="M1039" s="1">
        <v>0</v>
      </c>
      <c r="N1039" s="1">
        <v>18050.599999999999</v>
      </c>
    </row>
    <row r="1040" spans="1:14" x14ac:dyDescent="0.25">
      <c r="A1040" s="1">
        <v>2039</v>
      </c>
      <c r="B1040" s="1" t="s">
        <v>536</v>
      </c>
      <c r="C1040" s="1" t="s">
        <v>239</v>
      </c>
      <c r="D1040" s="1" t="s">
        <v>224</v>
      </c>
      <c r="E1040" s="1" t="s">
        <v>233</v>
      </c>
      <c r="F1040" s="1" t="s">
        <v>225</v>
      </c>
      <c r="G1040" s="1" t="s">
        <v>236</v>
      </c>
      <c r="H1040" s="1" t="s">
        <v>217</v>
      </c>
      <c r="I1040" s="1">
        <v>4</v>
      </c>
      <c r="J1040" s="1">
        <v>28024</v>
      </c>
      <c r="K1040" s="1">
        <v>112096</v>
      </c>
      <c r="L1040" s="1" t="s">
        <v>218</v>
      </c>
      <c r="M1040" s="1">
        <v>0</v>
      </c>
      <c r="N1040" s="1">
        <v>15511.55</v>
      </c>
    </row>
    <row r="1041" spans="1:14" x14ac:dyDescent="0.25">
      <c r="A1041" s="1">
        <v>2040</v>
      </c>
      <c r="B1041" s="1" t="s">
        <v>537</v>
      </c>
      <c r="C1041" s="1" t="s">
        <v>239</v>
      </c>
      <c r="D1041" s="1" t="s">
        <v>232</v>
      </c>
      <c r="E1041" s="1" t="s">
        <v>233</v>
      </c>
      <c r="F1041" s="1" t="s">
        <v>225</v>
      </c>
      <c r="G1041" s="1" t="s">
        <v>236</v>
      </c>
      <c r="H1041" s="1" t="s">
        <v>128</v>
      </c>
      <c r="I1041" s="1">
        <v>5</v>
      </c>
      <c r="J1041" s="1">
        <v>49537</v>
      </c>
      <c r="K1041" s="1">
        <v>222916.5</v>
      </c>
      <c r="L1041" s="1" t="s">
        <v>218</v>
      </c>
      <c r="M1041" s="1">
        <v>10</v>
      </c>
      <c r="N1041" s="1">
        <v>63495.12</v>
      </c>
    </row>
    <row r="1042" spans="1:14" x14ac:dyDescent="0.25">
      <c r="A1042" s="1">
        <v>2041</v>
      </c>
      <c r="B1042" s="1" t="s">
        <v>537</v>
      </c>
      <c r="C1042" s="1" t="s">
        <v>213</v>
      </c>
      <c r="D1042" s="1" t="s">
        <v>214</v>
      </c>
      <c r="E1042" s="1" t="s">
        <v>124</v>
      </c>
      <c r="F1042" s="1" t="s">
        <v>225</v>
      </c>
      <c r="G1042" s="1" t="s">
        <v>248</v>
      </c>
      <c r="H1042" s="1" t="s">
        <v>217</v>
      </c>
      <c r="I1042" s="1">
        <v>2</v>
      </c>
      <c r="J1042" s="1">
        <v>45162</v>
      </c>
      <c r="K1042" s="1">
        <v>90324</v>
      </c>
      <c r="L1042" s="1" t="s">
        <v>227</v>
      </c>
      <c r="M1042" s="1">
        <v>0</v>
      </c>
      <c r="N1042" s="1">
        <v>21880.07</v>
      </c>
    </row>
    <row r="1043" spans="1:14" x14ac:dyDescent="0.25">
      <c r="A1043" s="1">
        <v>2042</v>
      </c>
      <c r="B1043" s="1" t="s">
        <v>537</v>
      </c>
      <c r="C1043" s="1" t="s">
        <v>229</v>
      </c>
      <c r="D1043" s="1" t="s">
        <v>245</v>
      </c>
      <c r="E1043" s="1" t="s">
        <v>124</v>
      </c>
      <c r="F1043" s="1" t="s">
        <v>215</v>
      </c>
      <c r="G1043" s="1" t="s">
        <v>216</v>
      </c>
      <c r="H1043" s="1" t="s">
        <v>234</v>
      </c>
      <c r="I1043" s="1">
        <v>1</v>
      </c>
      <c r="J1043" s="1">
        <v>28767</v>
      </c>
      <c r="K1043" s="1">
        <v>25890.3</v>
      </c>
      <c r="L1043" s="1" t="s">
        <v>222</v>
      </c>
      <c r="M1043" s="1">
        <v>10</v>
      </c>
      <c r="N1043" s="1">
        <v>3950.88</v>
      </c>
    </row>
    <row r="1044" spans="1:14" x14ac:dyDescent="0.25">
      <c r="A1044" s="1">
        <v>2043</v>
      </c>
      <c r="B1044" s="1" t="s">
        <v>537</v>
      </c>
      <c r="C1044" s="1" t="s">
        <v>223</v>
      </c>
      <c r="D1044" s="1" t="s">
        <v>232</v>
      </c>
      <c r="E1044" s="1" t="s">
        <v>233</v>
      </c>
      <c r="F1044" s="1" t="s">
        <v>230</v>
      </c>
      <c r="G1044" s="1" t="s">
        <v>231</v>
      </c>
      <c r="H1044" s="1" t="s">
        <v>128</v>
      </c>
      <c r="I1044" s="1">
        <v>5</v>
      </c>
      <c r="J1044" s="1">
        <v>39175</v>
      </c>
      <c r="K1044" s="1">
        <v>186081.25</v>
      </c>
      <c r="L1044" s="1" t="s">
        <v>240</v>
      </c>
      <c r="M1044" s="1">
        <v>5</v>
      </c>
      <c r="N1044" s="1">
        <v>41818.5</v>
      </c>
    </row>
    <row r="1045" spans="1:14" x14ac:dyDescent="0.25">
      <c r="A1045" s="1">
        <v>2044</v>
      </c>
      <c r="B1045" s="1" t="s">
        <v>537</v>
      </c>
      <c r="C1045" s="1" t="s">
        <v>219</v>
      </c>
      <c r="D1045" s="1" t="s">
        <v>214</v>
      </c>
      <c r="E1045" s="1" t="s">
        <v>124</v>
      </c>
      <c r="F1045" s="1" t="s">
        <v>225</v>
      </c>
      <c r="G1045" s="1" t="s">
        <v>248</v>
      </c>
      <c r="H1045" s="1" t="s">
        <v>221</v>
      </c>
      <c r="I1045" s="1">
        <v>1</v>
      </c>
      <c r="J1045" s="1">
        <v>8712</v>
      </c>
      <c r="K1045" s="1">
        <v>8276.4</v>
      </c>
      <c r="L1045" s="1" t="s">
        <v>227</v>
      </c>
      <c r="M1045" s="1">
        <v>5</v>
      </c>
      <c r="N1045" s="1">
        <v>2312.31</v>
      </c>
    </row>
    <row r="1046" spans="1:14" x14ac:dyDescent="0.25">
      <c r="A1046" s="1">
        <v>2045</v>
      </c>
      <c r="B1046" s="1" t="s">
        <v>538</v>
      </c>
      <c r="C1046" s="1" t="s">
        <v>219</v>
      </c>
      <c r="D1046" s="1" t="s">
        <v>220</v>
      </c>
      <c r="E1046" s="1" t="s">
        <v>85</v>
      </c>
      <c r="F1046" s="1" t="s">
        <v>225</v>
      </c>
      <c r="G1046" s="1" t="s">
        <v>226</v>
      </c>
      <c r="H1046" s="1" t="s">
        <v>221</v>
      </c>
      <c r="I1046" s="1">
        <v>4</v>
      </c>
      <c r="J1046" s="1">
        <v>24611</v>
      </c>
      <c r="K1046" s="1">
        <v>88599.6</v>
      </c>
      <c r="L1046" s="1" t="s">
        <v>218</v>
      </c>
      <c r="M1046" s="1">
        <v>10</v>
      </c>
      <c r="N1046" s="1">
        <v>23119.08</v>
      </c>
    </row>
    <row r="1047" spans="1:14" x14ac:dyDescent="0.25">
      <c r="A1047" s="1">
        <v>2046</v>
      </c>
      <c r="B1047" s="1" t="s">
        <v>538</v>
      </c>
      <c r="C1047" s="1" t="s">
        <v>229</v>
      </c>
      <c r="D1047" s="1" t="s">
        <v>220</v>
      </c>
      <c r="E1047" s="1" t="s">
        <v>85</v>
      </c>
      <c r="F1047" s="1" t="s">
        <v>215</v>
      </c>
      <c r="G1047" s="1" t="s">
        <v>244</v>
      </c>
      <c r="H1047" s="1" t="s">
        <v>234</v>
      </c>
      <c r="I1047" s="1">
        <v>2</v>
      </c>
      <c r="J1047" s="1">
        <v>39837</v>
      </c>
      <c r="K1047" s="1">
        <v>79674</v>
      </c>
      <c r="L1047" s="1" t="s">
        <v>218</v>
      </c>
      <c r="M1047" s="1">
        <v>0</v>
      </c>
      <c r="N1047" s="1">
        <v>16674.189999999999</v>
      </c>
    </row>
    <row r="1048" spans="1:14" x14ac:dyDescent="0.25">
      <c r="A1048" s="1">
        <v>2047</v>
      </c>
      <c r="B1048" s="1" t="s">
        <v>538</v>
      </c>
      <c r="C1048" s="1" t="s">
        <v>219</v>
      </c>
      <c r="D1048" s="1" t="s">
        <v>245</v>
      </c>
      <c r="E1048" s="1" t="s">
        <v>124</v>
      </c>
      <c r="F1048" s="1" t="s">
        <v>215</v>
      </c>
      <c r="G1048" s="1" t="s">
        <v>216</v>
      </c>
      <c r="H1048" s="1" t="s">
        <v>217</v>
      </c>
      <c r="I1048" s="1">
        <v>3</v>
      </c>
      <c r="J1048" s="1">
        <v>38446</v>
      </c>
      <c r="K1048" s="1">
        <v>98037.3</v>
      </c>
      <c r="L1048" s="1" t="s">
        <v>222</v>
      </c>
      <c r="M1048" s="1">
        <v>15</v>
      </c>
      <c r="N1048" s="1">
        <v>23638.11</v>
      </c>
    </row>
    <row r="1049" spans="1:14" x14ac:dyDescent="0.25">
      <c r="A1049" s="1">
        <v>2048</v>
      </c>
      <c r="B1049" s="1" t="s">
        <v>538</v>
      </c>
      <c r="C1049" s="1" t="s">
        <v>213</v>
      </c>
      <c r="D1049" s="1" t="s">
        <v>224</v>
      </c>
      <c r="E1049" s="1" t="s">
        <v>233</v>
      </c>
      <c r="F1049" s="1" t="s">
        <v>215</v>
      </c>
      <c r="G1049" s="1" t="s">
        <v>244</v>
      </c>
      <c r="H1049" s="1" t="s">
        <v>221</v>
      </c>
      <c r="I1049" s="1">
        <v>5</v>
      </c>
      <c r="J1049" s="1">
        <v>43547</v>
      </c>
      <c r="K1049" s="1">
        <v>185074.75</v>
      </c>
      <c r="L1049" s="1" t="s">
        <v>240</v>
      </c>
      <c r="M1049" s="1">
        <v>15</v>
      </c>
      <c r="N1049" s="1">
        <v>45457.26</v>
      </c>
    </row>
    <row r="1050" spans="1:14" x14ac:dyDescent="0.25">
      <c r="A1050" s="1">
        <v>2049</v>
      </c>
      <c r="B1050" s="1" t="s">
        <v>539</v>
      </c>
      <c r="C1050" s="1" t="s">
        <v>223</v>
      </c>
      <c r="D1050" s="1" t="s">
        <v>220</v>
      </c>
      <c r="E1050" s="1" t="s">
        <v>85</v>
      </c>
      <c r="F1050" s="1" t="s">
        <v>225</v>
      </c>
      <c r="G1050" s="1" t="s">
        <v>248</v>
      </c>
      <c r="H1050" s="1" t="s">
        <v>234</v>
      </c>
      <c r="I1050" s="1">
        <v>1</v>
      </c>
      <c r="J1050" s="1">
        <v>9036</v>
      </c>
      <c r="K1050" s="1">
        <v>7680.6</v>
      </c>
      <c r="L1050" s="1" t="s">
        <v>240</v>
      </c>
      <c r="M1050" s="1">
        <v>15</v>
      </c>
      <c r="N1050" s="1">
        <v>1238.48</v>
      </c>
    </row>
    <row r="1051" spans="1:14" x14ac:dyDescent="0.25">
      <c r="A1051" s="1">
        <v>2050</v>
      </c>
      <c r="B1051" s="1" t="s">
        <v>539</v>
      </c>
      <c r="C1051" s="1" t="s">
        <v>223</v>
      </c>
      <c r="D1051" s="1" t="s">
        <v>245</v>
      </c>
      <c r="E1051" s="1" t="s">
        <v>124</v>
      </c>
      <c r="F1051" s="1" t="s">
        <v>230</v>
      </c>
      <c r="G1051" s="1" t="s">
        <v>231</v>
      </c>
      <c r="H1051" s="1" t="s">
        <v>221</v>
      </c>
      <c r="I1051" s="1">
        <v>5</v>
      </c>
      <c r="J1051" s="1">
        <v>47014</v>
      </c>
      <c r="K1051" s="1">
        <v>211563</v>
      </c>
      <c r="L1051" s="1" t="s">
        <v>227</v>
      </c>
      <c r="M1051" s="1">
        <v>10</v>
      </c>
      <c r="N1051" s="1">
        <v>21806.47</v>
      </c>
    </row>
    <row r="1052" spans="1:14" x14ac:dyDescent="0.25">
      <c r="A1052" s="1">
        <v>2051</v>
      </c>
      <c r="B1052" s="1" t="s">
        <v>539</v>
      </c>
      <c r="C1052" s="1" t="s">
        <v>229</v>
      </c>
      <c r="D1052" s="1" t="s">
        <v>232</v>
      </c>
      <c r="E1052" s="1" t="s">
        <v>233</v>
      </c>
      <c r="F1052" s="1" t="s">
        <v>230</v>
      </c>
      <c r="G1052" s="1" t="s">
        <v>231</v>
      </c>
      <c r="H1052" s="1" t="s">
        <v>221</v>
      </c>
      <c r="I1052" s="1">
        <v>4</v>
      </c>
      <c r="J1052" s="1">
        <v>41388</v>
      </c>
      <c r="K1052" s="1">
        <v>148996.79999999999</v>
      </c>
      <c r="L1052" s="1" t="s">
        <v>240</v>
      </c>
      <c r="M1052" s="1">
        <v>10</v>
      </c>
      <c r="N1052" s="1">
        <v>31121.9</v>
      </c>
    </row>
    <row r="1053" spans="1:14" x14ac:dyDescent="0.25">
      <c r="A1053" s="1">
        <v>2052</v>
      </c>
      <c r="B1053" s="1" t="s">
        <v>540</v>
      </c>
      <c r="C1053" s="1" t="s">
        <v>213</v>
      </c>
      <c r="D1053" s="1" t="s">
        <v>232</v>
      </c>
      <c r="E1053" s="1" t="s">
        <v>233</v>
      </c>
      <c r="F1053" s="1" t="s">
        <v>230</v>
      </c>
      <c r="G1053" s="1" t="s">
        <v>242</v>
      </c>
      <c r="H1053" s="1" t="s">
        <v>217</v>
      </c>
      <c r="I1053" s="1">
        <v>5</v>
      </c>
      <c r="J1053" s="1">
        <v>14736</v>
      </c>
      <c r="K1053" s="1">
        <v>66312</v>
      </c>
      <c r="L1053" s="1" t="s">
        <v>240</v>
      </c>
      <c r="M1053" s="1">
        <v>10</v>
      </c>
      <c r="N1053" s="1">
        <v>9438.74</v>
      </c>
    </row>
    <row r="1054" spans="1:14" x14ac:dyDescent="0.25">
      <c r="A1054" s="1">
        <v>2053</v>
      </c>
      <c r="B1054" s="1" t="s">
        <v>540</v>
      </c>
      <c r="C1054" s="1" t="s">
        <v>239</v>
      </c>
      <c r="D1054" s="1" t="s">
        <v>245</v>
      </c>
      <c r="E1054" s="1" t="s">
        <v>124</v>
      </c>
      <c r="F1054" s="1" t="s">
        <v>225</v>
      </c>
      <c r="G1054" s="1" t="s">
        <v>248</v>
      </c>
      <c r="H1054" s="1" t="s">
        <v>217</v>
      </c>
      <c r="I1054" s="1">
        <v>3</v>
      </c>
      <c r="J1054" s="1">
        <v>13488</v>
      </c>
      <c r="K1054" s="1">
        <v>40464</v>
      </c>
      <c r="L1054" s="1" t="s">
        <v>227</v>
      </c>
      <c r="M1054" s="1">
        <v>0</v>
      </c>
      <c r="N1054" s="1">
        <v>5439.27</v>
      </c>
    </row>
    <row r="1055" spans="1:14" x14ac:dyDescent="0.25">
      <c r="A1055" s="1">
        <v>2054</v>
      </c>
      <c r="B1055" s="1" t="s">
        <v>540</v>
      </c>
      <c r="C1055" s="1" t="s">
        <v>239</v>
      </c>
      <c r="D1055" s="1" t="s">
        <v>220</v>
      </c>
      <c r="E1055" s="1" t="s">
        <v>85</v>
      </c>
      <c r="F1055" s="1" t="s">
        <v>225</v>
      </c>
      <c r="G1055" s="1" t="s">
        <v>248</v>
      </c>
      <c r="H1055" s="1" t="s">
        <v>234</v>
      </c>
      <c r="I1055" s="1">
        <v>4</v>
      </c>
      <c r="J1055" s="1">
        <v>1490</v>
      </c>
      <c r="K1055" s="1">
        <v>5960</v>
      </c>
      <c r="L1055" s="1" t="s">
        <v>218</v>
      </c>
      <c r="M1055" s="1">
        <v>0</v>
      </c>
      <c r="N1055" s="1">
        <v>1028.3900000000001</v>
      </c>
    </row>
    <row r="1056" spans="1:14" x14ac:dyDescent="0.25">
      <c r="A1056" s="1">
        <v>2055</v>
      </c>
      <c r="B1056" s="1" t="s">
        <v>540</v>
      </c>
      <c r="C1056" s="1" t="s">
        <v>219</v>
      </c>
      <c r="D1056" s="1" t="s">
        <v>232</v>
      </c>
      <c r="E1056" s="1" t="s">
        <v>233</v>
      </c>
      <c r="F1056" s="1" t="s">
        <v>215</v>
      </c>
      <c r="G1056" s="1" t="s">
        <v>216</v>
      </c>
      <c r="H1056" s="1" t="s">
        <v>234</v>
      </c>
      <c r="I1056" s="1">
        <v>5</v>
      </c>
      <c r="J1056" s="1">
        <v>17123</v>
      </c>
      <c r="K1056" s="1">
        <v>77053.5</v>
      </c>
      <c r="L1056" s="1" t="s">
        <v>218</v>
      </c>
      <c r="M1056" s="1">
        <v>10</v>
      </c>
      <c r="N1056" s="1">
        <v>10543.21</v>
      </c>
    </row>
    <row r="1057" spans="1:14" x14ac:dyDescent="0.25">
      <c r="A1057" s="1">
        <v>2056</v>
      </c>
      <c r="B1057" s="1" t="s">
        <v>541</v>
      </c>
      <c r="C1057" s="1" t="s">
        <v>229</v>
      </c>
      <c r="D1057" s="1" t="s">
        <v>224</v>
      </c>
      <c r="E1057" s="1" t="s">
        <v>233</v>
      </c>
      <c r="F1057" s="1" t="s">
        <v>230</v>
      </c>
      <c r="G1057" s="1" t="s">
        <v>242</v>
      </c>
      <c r="H1057" s="1" t="s">
        <v>217</v>
      </c>
      <c r="I1057" s="1">
        <v>3</v>
      </c>
      <c r="J1057" s="1">
        <v>2770</v>
      </c>
      <c r="K1057" s="1">
        <v>7479</v>
      </c>
      <c r="L1057" s="1" t="s">
        <v>240</v>
      </c>
      <c r="M1057" s="1">
        <v>10</v>
      </c>
      <c r="N1057" s="1">
        <v>1068</v>
      </c>
    </row>
    <row r="1058" spans="1:14" x14ac:dyDescent="0.25">
      <c r="A1058" s="1">
        <v>2057</v>
      </c>
      <c r="B1058" s="1" t="s">
        <v>541</v>
      </c>
      <c r="C1058" s="1" t="s">
        <v>213</v>
      </c>
      <c r="D1058" s="1" t="s">
        <v>214</v>
      </c>
      <c r="E1058" s="1" t="s">
        <v>124</v>
      </c>
      <c r="F1058" s="1" t="s">
        <v>215</v>
      </c>
      <c r="G1058" s="1" t="s">
        <v>216</v>
      </c>
      <c r="H1058" s="1" t="s">
        <v>217</v>
      </c>
      <c r="I1058" s="1">
        <v>5</v>
      </c>
      <c r="J1058" s="1">
        <v>10700</v>
      </c>
      <c r="K1058" s="1">
        <v>45475</v>
      </c>
      <c r="L1058" s="1" t="s">
        <v>222</v>
      </c>
      <c r="M1058" s="1">
        <v>15</v>
      </c>
      <c r="N1058" s="1">
        <v>7178.85</v>
      </c>
    </row>
    <row r="1059" spans="1:14" x14ac:dyDescent="0.25">
      <c r="A1059" s="1">
        <v>2058</v>
      </c>
      <c r="B1059" s="1" t="s">
        <v>542</v>
      </c>
      <c r="C1059" s="1" t="s">
        <v>229</v>
      </c>
      <c r="D1059" s="1" t="s">
        <v>245</v>
      </c>
      <c r="E1059" s="1" t="s">
        <v>124</v>
      </c>
      <c r="F1059" s="1" t="s">
        <v>225</v>
      </c>
      <c r="G1059" s="1" t="s">
        <v>226</v>
      </c>
      <c r="H1059" s="1" t="s">
        <v>221</v>
      </c>
      <c r="I1059" s="1">
        <v>4</v>
      </c>
      <c r="J1059" s="1">
        <v>32911</v>
      </c>
      <c r="K1059" s="1">
        <v>131644</v>
      </c>
      <c r="L1059" s="1" t="s">
        <v>227</v>
      </c>
      <c r="M1059" s="1">
        <v>0</v>
      </c>
      <c r="N1059" s="1">
        <v>38765.53</v>
      </c>
    </row>
    <row r="1060" spans="1:14" x14ac:dyDescent="0.25">
      <c r="A1060" s="1">
        <v>2059</v>
      </c>
      <c r="B1060" s="1" t="s">
        <v>542</v>
      </c>
      <c r="C1060" s="1" t="s">
        <v>219</v>
      </c>
      <c r="D1060" s="1" t="s">
        <v>220</v>
      </c>
      <c r="E1060" s="1" t="s">
        <v>85</v>
      </c>
      <c r="F1060" s="1" t="s">
        <v>225</v>
      </c>
      <c r="G1060" s="1" t="s">
        <v>226</v>
      </c>
      <c r="H1060" s="1" t="s">
        <v>221</v>
      </c>
      <c r="I1060" s="1">
        <v>4</v>
      </c>
      <c r="J1060" s="1">
        <v>18268</v>
      </c>
      <c r="K1060" s="1">
        <v>69418.399999999994</v>
      </c>
      <c r="L1060" s="1" t="s">
        <v>222</v>
      </c>
      <c r="M1060" s="1">
        <v>5</v>
      </c>
      <c r="N1060" s="1">
        <v>16812.09</v>
      </c>
    </row>
    <row r="1061" spans="1:14" x14ac:dyDescent="0.25">
      <c r="A1061" s="1">
        <v>2060</v>
      </c>
      <c r="B1061" s="1" t="s">
        <v>542</v>
      </c>
      <c r="C1061" s="1" t="s">
        <v>213</v>
      </c>
      <c r="D1061" s="1" t="s">
        <v>232</v>
      </c>
      <c r="E1061" s="1" t="s">
        <v>233</v>
      </c>
      <c r="F1061" s="1" t="s">
        <v>215</v>
      </c>
      <c r="G1061" s="1" t="s">
        <v>244</v>
      </c>
      <c r="H1061" s="1" t="s">
        <v>217</v>
      </c>
      <c r="I1061" s="1">
        <v>1</v>
      </c>
      <c r="J1061" s="1">
        <v>29221</v>
      </c>
      <c r="K1061" s="1">
        <v>27759.95</v>
      </c>
      <c r="L1061" s="1" t="s">
        <v>240</v>
      </c>
      <c r="M1061" s="1">
        <v>5</v>
      </c>
      <c r="N1061" s="1">
        <v>6198.31</v>
      </c>
    </row>
    <row r="1062" spans="1:14" x14ac:dyDescent="0.25">
      <c r="A1062" s="1">
        <v>2061</v>
      </c>
      <c r="B1062" s="1" t="s">
        <v>543</v>
      </c>
      <c r="C1062" s="1" t="s">
        <v>223</v>
      </c>
      <c r="D1062" s="1" t="s">
        <v>245</v>
      </c>
      <c r="E1062" s="1" t="s">
        <v>124</v>
      </c>
      <c r="F1062" s="1" t="s">
        <v>225</v>
      </c>
      <c r="G1062" s="1" t="s">
        <v>236</v>
      </c>
      <c r="H1062" s="1" t="s">
        <v>217</v>
      </c>
      <c r="I1062" s="1">
        <v>4</v>
      </c>
      <c r="J1062" s="1">
        <v>44880</v>
      </c>
      <c r="K1062" s="1">
        <v>179520</v>
      </c>
      <c r="L1062" s="1" t="s">
        <v>240</v>
      </c>
      <c r="M1062" s="1">
        <v>0</v>
      </c>
      <c r="N1062" s="1">
        <v>20726.03</v>
      </c>
    </row>
    <row r="1063" spans="1:14" x14ac:dyDescent="0.25">
      <c r="A1063" s="1">
        <v>2062</v>
      </c>
      <c r="B1063" s="1" t="s">
        <v>543</v>
      </c>
      <c r="C1063" s="1" t="s">
        <v>213</v>
      </c>
      <c r="D1063" s="1" t="s">
        <v>220</v>
      </c>
      <c r="E1063" s="1" t="s">
        <v>85</v>
      </c>
      <c r="F1063" s="1" t="s">
        <v>215</v>
      </c>
      <c r="G1063" s="1" t="s">
        <v>216</v>
      </c>
      <c r="H1063" s="1" t="s">
        <v>221</v>
      </c>
      <c r="I1063" s="1">
        <v>4</v>
      </c>
      <c r="J1063" s="1">
        <v>33407</v>
      </c>
      <c r="K1063" s="1">
        <v>133628</v>
      </c>
      <c r="L1063" s="1" t="s">
        <v>218</v>
      </c>
      <c r="M1063" s="1">
        <v>0</v>
      </c>
      <c r="N1063" s="1">
        <v>38548.29</v>
      </c>
    </row>
    <row r="1064" spans="1:14" x14ac:dyDescent="0.25">
      <c r="A1064" s="1">
        <v>2063</v>
      </c>
      <c r="B1064" s="1" t="s">
        <v>544</v>
      </c>
      <c r="C1064" s="1" t="s">
        <v>239</v>
      </c>
      <c r="D1064" s="1" t="s">
        <v>245</v>
      </c>
      <c r="E1064" s="1" t="s">
        <v>124</v>
      </c>
      <c r="F1064" s="1" t="s">
        <v>230</v>
      </c>
      <c r="G1064" s="1" t="s">
        <v>231</v>
      </c>
      <c r="H1064" s="1" t="s">
        <v>217</v>
      </c>
      <c r="I1064" s="1">
        <v>5</v>
      </c>
      <c r="J1064" s="1">
        <v>21660</v>
      </c>
      <c r="K1064" s="1">
        <v>108300</v>
      </c>
      <c r="L1064" s="1" t="s">
        <v>227</v>
      </c>
      <c r="M1064" s="1">
        <v>0</v>
      </c>
      <c r="N1064" s="1">
        <v>32291.26</v>
      </c>
    </row>
    <row r="1065" spans="1:14" x14ac:dyDescent="0.25">
      <c r="A1065" s="1">
        <v>2064</v>
      </c>
      <c r="B1065" s="1" t="s">
        <v>544</v>
      </c>
      <c r="C1065" s="1" t="s">
        <v>223</v>
      </c>
      <c r="D1065" s="1" t="s">
        <v>214</v>
      </c>
      <c r="E1065" s="1" t="s">
        <v>124</v>
      </c>
      <c r="F1065" s="1" t="s">
        <v>225</v>
      </c>
      <c r="G1065" s="1" t="s">
        <v>236</v>
      </c>
      <c r="H1065" s="1" t="s">
        <v>234</v>
      </c>
      <c r="I1065" s="1">
        <v>5</v>
      </c>
      <c r="J1065" s="1">
        <v>10454</v>
      </c>
      <c r="K1065" s="1">
        <v>44429.5</v>
      </c>
      <c r="L1065" s="1" t="s">
        <v>222</v>
      </c>
      <c r="M1065" s="1">
        <v>15</v>
      </c>
      <c r="N1065" s="1">
        <v>5629.22</v>
      </c>
    </row>
    <row r="1066" spans="1:14" x14ac:dyDescent="0.25">
      <c r="A1066" s="1">
        <v>2065</v>
      </c>
      <c r="B1066" s="1" t="s">
        <v>544</v>
      </c>
      <c r="C1066" s="1" t="s">
        <v>219</v>
      </c>
      <c r="D1066" s="1" t="s">
        <v>214</v>
      </c>
      <c r="E1066" s="1" t="s">
        <v>124</v>
      </c>
      <c r="F1066" s="1" t="s">
        <v>215</v>
      </c>
      <c r="G1066" s="1" t="s">
        <v>216</v>
      </c>
      <c r="H1066" s="1" t="s">
        <v>128</v>
      </c>
      <c r="I1066" s="1">
        <v>2</v>
      </c>
      <c r="J1066" s="1">
        <v>17270</v>
      </c>
      <c r="K1066" s="1">
        <v>34540</v>
      </c>
      <c r="L1066" s="1" t="s">
        <v>227</v>
      </c>
      <c r="M1066" s="1">
        <v>0</v>
      </c>
      <c r="N1066" s="1">
        <v>6152.09</v>
      </c>
    </row>
    <row r="1067" spans="1:14" x14ac:dyDescent="0.25">
      <c r="A1067" s="1">
        <v>2066</v>
      </c>
      <c r="B1067" s="1" t="s">
        <v>544</v>
      </c>
      <c r="C1067" s="1" t="s">
        <v>229</v>
      </c>
      <c r="D1067" s="1" t="s">
        <v>232</v>
      </c>
      <c r="E1067" s="1" t="s">
        <v>233</v>
      </c>
      <c r="F1067" s="1" t="s">
        <v>225</v>
      </c>
      <c r="G1067" s="1" t="s">
        <v>248</v>
      </c>
      <c r="H1067" s="1" t="s">
        <v>217</v>
      </c>
      <c r="I1067" s="1">
        <v>4</v>
      </c>
      <c r="J1067" s="1">
        <v>27185</v>
      </c>
      <c r="K1067" s="1">
        <v>97866</v>
      </c>
      <c r="L1067" s="1" t="s">
        <v>240</v>
      </c>
      <c r="M1067" s="1">
        <v>10</v>
      </c>
      <c r="N1067" s="1">
        <v>24265.85</v>
      </c>
    </row>
    <row r="1068" spans="1:14" x14ac:dyDescent="0.25">
      <c r="A1068" s="1">
        <v>2067</v>
      </c>
      <c r="B1068" s="1" t="s">
        <v>544</v>
      </c>
      <c r="C1068" s="1" t="s">
        <v>239</v>
      </c>
      <c r="D1068" s="1" t="s">
        <v>232</v>
      </c>
      <c r="E1068" s="1" t="s">
        <v>233</v>
      </c>
      <c r="F1068" s="1" t="s">
        <v>230</v>
      </c>
      <c r="G1068" s="1" t="s">
        <v>231</v>
      </c>
      <c r="H1068" s="1" t="s">
        <v>217</v>
      </c>
      <c r="I1068" s="1">
        <v>5</v>
      </c>
      <c r="J1068" s="1">
        <v>9695</v>
      </c>
      <c r="K1068" s="1">
        <v>46051.25</v>
      </c>
      <c r="L1068" s="1" t="s">
        <v>227</v>
      </c>
      <c r="M1068" s="1">
        <v>5</v>
      </c>
      <c r="N1068" s="1">
        <v>10986.36</v>
      </c>
    </row>
    <row r="1069" spans="1:14" x14ac:dyDescent="0.25">
      <c r="A1069" s="1">
        <v>2068</v>
      </c>
      <c r="B1069" s="1" t="s">
        <v>545</v>
      </c>
      <c r="C1069" s="1" t="s">
        <v>213</v>
      </c>
      <c r="D1069" s="1" t="s">
        <v>220</v>
      </c>
      <c r="E1069" s="1" t="s">
        <v>85</v>
      </c>
      <c r="F1069" s="1" t="s">
        <v>230</v>
      </c>
      <c r="G1069" s="1" t="s">
        <v>241</v>
      </c>
      <c r="H1069" s="1" t="s">
        <v>217</v>
      </c>
      <c r="I1069" s="1">
        <v>5</v>
      </c>
      <c r="J1069" s="1">
        <v>31557</v>
      </c>
      <c r="K1069" s="1">
        <v>157785</v>
      </c>
      <c r="L1069" s="1" t="s">
        <v>222</v>
      </c>
      <c r="M1069" s="1">
        <v>0</v>
      </c>
      <c r="N1069" s="1">
        <v>28000.1</v>
      </c>
    </row>
    <row r="1070" spans="1:14" x14ac:dyDescent="0.25">
      <c r="A1070" s="1">
        <v>2069</v>
      </c>
      <c r="B1070" s="1" t="s">
        <v>545</v>
      </c>
      <c r="C1070" s="1" t="s">
        <v>219</v>
      </c>
      <c r="D1070" s="1" t="s">
        <v>214</v>
      </c>
      <c r="E1070" s="1" t="s">
        <v>124</v>
      </c>
      <c r="F1070" s="1" t="s">
        <v>230</v>
      </c>
      <c r="G1070" s="1" t="s">
        <v>241</v>
      </c>
      <c r="H1070" s="1" t="s">
        <v>221</v>
      </c>
      <c r="I1070" s="1">
        <v>4</v>
      </c>
      <c r="J1070" s="1">
        <v>1455</v>
      </c>
      <c r="K1070" s="1">
        <v>5529</v>
      </c>
      <c r="L1070" s="1" t="s">
        <v>240</v>
      </c>
      <c r="M1070" s="1">
        <v>5</v>
      </c>
      <c r="N1070" s="1">
        <v>750.63</v>
      </c>
    </row>
    <row r="1071" spans="1:14" x14ac:dyDescent="0.25">
      <c r="A1071" s="1">
        <v>2070</v>
      </c>
      <c r="B1071" s="1" t="s">
        <v>545</v>
      </c>
      <c r="C1071" s="1" t="s">
        <v>213</v>
      </c>
      <c r="D1071" s="1" t="s">
        <v>220</v>
      </c>
      <c r="E1071" s="1" t="s">
        <v>85</v>
      </c>
      <c r="F1071" s="1" t="s">
        <v>225</v>
      </c>
      <c r="G1071" s="1" t="s">
        <v>226</v>
      </c>
      <c r="H1071" s="1" t="s">
        <v>217</v>
      </c>
      <c r="I1071" s="1">
        <v>3</v>
      </c>
      <c r="J1071" s="1">
        <v>16941</v>
      </c>
      <c r="K1071" s="1">
        <v>48281.85</v>
      </c>
      <c r="L1071" s="1" t="s">
        <v>240</v>
      </c>
      <c r="M1071" s="1">
        <v>5</v>
      </c>
      <c r="N1071" s="1">
        <v>6191.27</v>
      </c>
    </row>
    <row r="1072" spans="1:14" x14ac:dyDescent="0.25">
      <c r="A1072" s="1">
        <v>2071</v>
      </c>
      <c r="B1072" s="1" t="s">
        <v>546</v>
      </c>
      <c r="C1072" s="1" t="s">
        <v>223</v>
      </c>
      <c r="D1072" s="1" t="s">
        <v>245</v>
      </c>
      <c r="E1072" s="1" t="s">
        <v>124</v>
      </c>
      <c r="F1072" s="1" t="s">
        <v>225</v>
      </c>
      <c r="G1072" s="1" t="s">
        <v>236</v>
      </c>
      <c r="H1072" s="1" t="s">
        <v>128</v>
      </c>
      <c r="I1072" s="1">
        <v>1</v>
      </c>
      <c r="J1072" s="1">
        <v>40952</v>
      </c>
      <c r="K1072" s="1">
        <v>34809.199999999997</v>
      </c>
      <c r="L1072" s="1" t="s">
        <v>227</v>
      </c>
      <c r="M1072" s="1">
        <v>15</v>
      </c>
      <c r="N1072" s="1">
        <v>10374.530000000001</v>
      </c>
    </row>
    <row r="1073" spans="1:14" x14ac:dyDescent="0.25">
      <c r="A1073" s="1">
        <v>2072</v>
      </c>
      <c r="B1073" s="1" t="s">
        <v>546</v>
      </c>
      <c r="C1073" s="1" t="s">
        <v>213</v>
      </c>
      <c r="D1073" s="1" t="s">
        <v>245</v>
      </c>
      <c r="E1073" s="1" t="s">
        <v>124</v>
      </c>
      <c r="F1073" s="1" t="s">
        <v>230</v>
      </c>
      <c r="G1073" s="1" t="s">
        <v>241</v>
      </c>
      <c r="H1073" s="1" t="s">
        <v>128</v>
      </c>
      <c r="I1073" s="1">
        <v>4</v>
      </c>
      <c r="J1073" s="1">
        <v>40566</v>
      </c>
      <c r="K1073" s="1">
        <v>146037.6</v>
      </c>
      <c r="L1073" s="1" t="s">
        <v>222</v>
      </c>
      <c r="M1073" s="1">
        <v>10</v>
      </c>
      <c r="N1073" s="1">
        <v>16131.33</v>
      </c>
    </row>
    <row r="1074" spans="1:14" x14ac:dyDescent="0.25">
      <c r="A1074" s="1">
        <v>2073</v>
      </c>
      <c r="B1074" s="1" t="s">
        <v>547</v>
      </c>
      <c r="C1074" s="1" t="s">
        <v>219</v>
      </c>
      <c r="D1074" s="1" t="s">
        <v>245</v>
      </c>
      <c r="E1074" s="1" t="s">
        <v>124</v>
      </c>
      <c r="F1074" s="1" t="s">
        <v>225</v>
      </c>
      <c r="G1074" s="1" t="s">
        <v>236</v>
      </c>
      <c r="H1074" s="1" t="s">
        <v>221</v>
      </c>
      <c r="I1074" s="1">
        <v>5</v>
      </c>
      <c r="J1074" s="1">
        <v>12108</v>
      </c>
      <c r="K1074" s="1">
        <v>51459</v>
      </c>
      <c r="L1074" s="1" t="s">
        <v>240</v>
      </c>
      <c r="M1074" s="1">
        <v>15</v>
      </c>
      <c r="N1074" s="1">
        <v>10608.12</v>
      </c>
    </row>
    <row r="1075" spans="1:14" x14ac:dyDescent="0.25">
      <c r="A1075" s="1">
        <v>2074</v>
      </c>
      <c r="B1075" s="1" t="s">
        <v>547</v>
      </c>
      <c r="C1075" s="1" t="s">
        <v>223</v>
      </c>
      <c r="D1075" s="1" t="s">
        <v>232</v>
      </c>
      <c r="E1075" s="1" t="s">
        <v>233</v>
      </c>
      <c r="F1075" s="1" t="s">
        <v>225</v>
      </c>
      <c r="G1075" s="1" t="s">
        <v>226</v>
      </c>
      <c r="H1075" s="1" t="s">
        <v>128</v>
      </c>
      <c r="I1075" s="1">
        <v>1</v>
      </c>
      <c r="J1075" s="1">
        <v>15779</v>
      </c>
      <c r="K1075" s="1">
        <v>14201.1</v>
      </c>
      <c r="L1075" s="1" t="s">
        <v>240</v>
      </c>
      <c r="M1075" s="1">
        <v>10</v>
      </c>
      <c r="N1075" s="1">
        <v>3313.68</v>
      </c>
    </row>
    <row r="1076" spans="1:14" x14ac:dyDescent="0.25">
      <c r="A1076" s="1">
        <v>2075</v>
      </c>
      <c r="B1076" s="1" t="s">
        <v>547</v>
      </c>
      <c r="C1076" s="1" t="s">
        <v>223</v>
      </c>
      <c r="D1076" s="1" t="s">
        <v>224</v>
      </c>
      <c r="E1076" s="1" t="s">
        <v>233</v>
      </c>
      <c r="F1076" s="1" t="s">
        <v>225</v>
      </c>
      <c r="G1076" s="1" t="s">
        <v>248</v>
      </c>
      <c r="H1076" s="1" t="s">
        <v>128</v>
      </c>
      <c r="I1076" s="1">
        <v>5</v>
      </c>
      <c r="J1076" s="1">
        <v>12216</v>
      </c>
      <c r="K1076" s="1">
        <v>58026</v>
      </c>
      <c r="L1076" s="1" t="s">
        <v>240</v>
      </c>
      <c r="M1076" s="1">
        <v>5</v>
      </c>
      <c r="N1076" s="1">
        <v>16914.150000000001</v>
      </c>
    </row>
    <row r="1077" spans="1:14" x14ac:dyDescent="0.25">
      <c r="A1077" s="1">
        <v>2076</v>
      </c>
      <c r="B1077" s="1" t="s">
        <v>548</v>
      </c>
      <c r="C1077" s="1" t="s">
        <v>223</v>
      </c>
      <c r="D1077" s="1" t="s">
        <v>245</v>
      </c>
      <c r="E1077" s="1" t="s">
        <v>124</v>
      </c>
      <c r="F1077" s="1" t="s">
        <v>215</v>
      </c>
      <c r="G1077" s="1" t="s">
        <v>216</v>
      </c>
      <c r="H1077" s="1" t="s">
        <v>221</v>
      </c>
      <c r="I1077" s="1">
        <v>3</v>
      </c>
      <c r="J1077" s="1">
        <v>29737</v>
      </c>
      <c r="K1077" s="1">
        <v>80289.899999999994</v>
      </c>
      <c r="L1077" s="1" t="s">
        <v>218</v>
      </c>
      <c r="M1077" s="1">
        <v>10</v>
      </c>
      <c r="N1077" s="1">
        <v>13182.37</v>
      </c>
    </row>
    <row r="1078" spans="1:14" x14ac:dyDescent="0.25">
      <c r="A1078" s="1">
        <v>2077</v>
      </c>
      <c r="B1078" s="1" t="s">
        <v>548</v>
      </c>
      <c r="C1078" s="1" t="s">
        <v>213</v>
      </c>
      <c r="D1078" s="1" t="s">
        <v>245</v>
      </c>
      <c r="E1078" s="1" t="s">
        <v>124</v>
      </c>
      <c r="F1078" s="1" t="s">
        <v>215</v>
      </c>
      <c r="G1078" s="1" t="s">
        <v>246</v>
      </c>
      <c r="H1078" s="1" t="s">
        <v>217</v>
      </c>
      <c r="I1078" s="1">
        <v>2</v>
      </c>
      <c r="J1078" s="1">
        <v>4312</v>
      </c>
      <c r="K1078" s="1">
        <v>8624</v>
      </c>
      <c r="L1078" s="1" t="s">
        <v>222</v>
      </c>
      <c r="M1078" s="1">
        <v>0</v>
      </c>
      <c r="N1078" s="1">
        <v>1718.67</v>
      </c>
    </row>
    <row r="1079" spans="1:14" x14ac:dyDescent="0.25">
      <c r="A1079" s="1">
        <v>2078</v>
      </c>
      <c r="B1079" s="1" t="s">
        <v>548</v>
      </c>
      <c r="C1079" s="1" t="s">
        <v>219</v>
      </c>
      <c r="D1079" s="1" t="s">
        <v>220</v>
      </c>
      <c r="E1079" s="1" t="s">
        <v>85</v>
      </c>
      <c r="F1079" s="1" t="s">
        <v>215</v>
      </c>
      <c r="G1079" s="1" t="s">
        <v>246</v>
      </c>
      <c r="H1079" s="1" t="s">
        <v>128</v>
      </c>
      <c r="I1079" s="1">
        <v>3</v>
      </c>
      <c r="J1079" s="1">
        <v>40734</v>
      </c>
      <c r="K1079" s="1">
        <v>122202</v>
      </c>
      <c r="L1079" s="1" t="s">
        <v>218</v>
      </c>
      <c r="M1079" s="1">
        <v>0</v>
      </c>
      <c r="N1079" s="1">
        <v>25640.54</v>
      </c>
    </row>
    <row r="1080" spans="1:14" x14ac:dyDescent="0.25">
      <c r="A1080" s="1">
        <v>2079</v>
      </c>
      <c r="B1080" s="1" t="s">
        <v>548</v>
      </c>
      <c r="C1080" s="1" t="s">
        <v>223</v>
      </c>
      <c r="D1080" s="1" t="s">
        <v>220</v>
      </c>
      <c r="E1080" s="1" t="s">
        <v>85</v>
      </c>
      <c r="F1080" s="1" t="s">
        <v>215</v>
      </c>
      <c r="G1080" s="1" t="s">
        <v>244</v>
      </c>
      <c r="H1080" s="1" t="s">
        <v>221</v>
      </c>
      <c r="I1080" s="1">
        <v>5</v>
      </c>
      <c r="J1080" s="1">
        <v>21168</v>
      </c>
      <c r="K1080" s="1">
        <v>105840</v>
      </c>
      <c r="L1080" s="1" t="s">
        <v>227</v>
      </c>
      <c r="M1080" s="1">
        <v>0</v>
      </c>
      <c r="N1080" s="1">
        <v>28266.14</v>
      </c>
    </row>
    <row r="1081" spans="1:14" x14ac:dyDescent="0.25">
      <c r="A1081" s="1">
        <v>2080</v>
      </c>
      <c r="B1081" s="1" t="s">
        <v>549</v>
      </c>
      <c r="C1081" s="1" t="s">
        <v>223</v>
      </c>
      <c r="D1081" s="1" t="s">
        <v>214</v>
      </c>
      <c r="E1081" s="1" t="s">
        <v>124</v>
      </c>
      <c r="F1081" s="1" t="s">
        <v>230</v>
      </c>
      <c r="G1081" s="1" t="s">
        <v>231</v>
      </c>
      <c r="H1081" s="1" t="s">
        <v>221</v>
      </c>
      <c r="I1081" s="1">
        <v>4</v>
      </c>
      <c r="J1081" s="1">
        <v>25464</v>
      </c>
      <c r="K1081" s="1">
        <v>86577.600000000006</v>
      </c>
      <c r="L1081" s="1" t="s">
        <v>240</v>
      </c>
      <c r="M1081" s="1">
        <v>15</v>
      </c>
      <c r="N1081" s="1">
        <v>14776.25</v>
      </c>
    </row>
    <row r="1082" spans="1:14" x14ac:dyDescent="0.25">
      <c r="A1082" s="1">
        <v>2081</v>
      </c>
      <c r="B1082" s="1" t="s">
        <v>549</v>
      </c>
      <c r="C1082" s="1" t="s">
        <v>223</v>
      </c>
      <c r="D1082" s="1" t="s">
        <v>245</v>
      </c>
      <c r="E1082" s="1" t="s">
        <v>124</v>
      </c>
      <c r="F1082" s="1" t="s">
        <v>230</v>
      </c>
      <c r="G1082" s="1" t="s">
        <v>231</v>
      </c>
      <c r="H1082" s="1" t="s">
        <v>221</v>
      </c>
      <c r="I1082" s="1">
        <v>3</v>
      </c>
      <c r="J1082" s="1">
        <v>45907</v>
      </c>
      <c r="K1082" s="1">
        <v>130834.95</v>
      </c>
      <c r="L1082" s="1" t="s">
        <v>227</v>
      </c>
      <c r="M1082" s="1">
        <v>5</v>
      </c>
      <c r="N1082" s="1">
        <v>38558.86</v>
      </c>
    </row>
    <row r="1083" spans="1:14" x14ac:dyDescent="0.25">
      <c r="A1083" s="1">
        <v>2082</v>
      </c>
      <c r="B1083" s="1" t="s">
        <v>550</v>
      </c>
      <c r="C1083" s="1" t="s">
        <v>219</v>
      </c>
      <c r="D1083" s="1" t="s">
        <v>214</v>
      </c>
      <c r="E1083" s="1" t="s">
        <v>124</v>
      </c>
      <c r="F1083" s="1" t="s">
        <v>225</v>
      </c>
      <c r="G1083" s="1" t="s">
        <v>226</v>
      </c>
      <c r="H1083" s="1" t="s">
        <v>128</v>
      </c>
      <c r="I1083" s="1">
        <v>5</v>
      </c>
      <c r="J1083" s="1">
        <v>20711</v>
      </c>
      <c r="K1083" s="1">
        <v>88021.75</v>
      </c>
      <c r="L1083" s="1" t="s">
        <v>227</v>
      </c>
      <c r="M1083" s="1">
        <v>15</v>
      </c>
      <c r="N1083" s="1">
        <v>10491.83</v>
      </c>
    </row>
    <row r="1084" spans="1:14" x14ac:dyDescent="0.25">
      <c r="A1084" s="1">
        <v>2083</v>
      </c>
      <c r="B1084" s="1" t="s">
        <v>550</v>
      </c>
      <c r="C1084" s="1" t="s">
        <v>213</v>
      </c>
      <c r="D1084" s="1" t="s">
        <v>214</v>
      </c>
      <c r="E1084" s="1" t="s">
        <v>124</v>
      </c>
      <c r="F1084" s="1" t="s">
        <v>230</v>
      </c>
      <c r="G1084" s="1" t="s">
        <v>242</v>
      </c>
      <c r="H1084" s="1" t="s">
        <v>128</v>
      </c>
      <c r="I1084" s="1">
        <v>4</v>
      </c>
      <c r="J1084" s="1">
        <v>4630</v>
      </c>
      <c r="K1084" s="1">
        <v>16668</v>
      </c>
      <c r="L1084" s="1" t="s">
        <v>227</v>
      </c>
      <c r="M1084" s="1">
        <v>10</v>
      </c>
      <c r="N1084" s="1">
        <v>4339.45</v>
      </c>
    </row>
    <row r="1085" spans="1:14" x14ac:dyDescent="0.25">
      <c r="A1085" s="1">
        <v>2084</v>
      </c>
      <c r="B1085" s="1" t="s">
        <v>550</v>
      </c>
      <c r="C1085" s="1" t="s">
        <v>239</v>
      </c>
      <c r="D1085" s="1" t="s">
        <v>232</v>
      </c>
      <c r="E1085" s="1" t="s">
        <v>233</v>
      </c>
      <c r="F1085" s="1" t="s">
        <v>215</v>
      </c>
      <c r="G1085" s="1" t="s">
        <v>244</v>
      </c>
      <c r="H1085" s="1" t="s">
        <v>128</v>
      </c>
      <c r="I1085" s="1">
        <v>2</v>
      </c>
      <c r="J1085" s="1">
        <v>25072</v>
      </c>
      <c r="K1085" s="1">
        <v>50144</v>
      </c>
      <c r="L1085" s="1" t="s">
        <v>227</v>
      </c>
      <c r="M1085" s="1">
        <v>0</v>
      </c>
      <c r="N1085" s="1">
        <v>6184.85</v>
      </c>
    </row>
    <row r="1086" spans="1:14" x14ac:dyDescent="0.25">
      <c r="A1086" s="1">
        <v>2085</v>
      </c>
      <c r="B1086" s="1" t="s">
        <v>550</v>
      </c>
      <c r="C1086" s="1" t="s">
        <v>229</v>
      </c>
      <c r="D1086" s="1" t="s">
        <v>232</v>
      </c>
      <c r="E1086" s="1" t="s">
        <v>233</v>
      </c>
      <c r="F1086" s="1" t="s">
        <v>230</v>
      </c>
      <c r="G1086" s="1" t="s">
        <v>242</v>
      </c>
      <c r="H1086" s="1" t="s">
        <v>221</v>
      </c>
      <c r="I1086" s="1">
        <v>3</v>
      </c>
      <c r="J1086" s="1">
        <v>43432</v>
      </c>
      <c r="K1086" s="1">
        <v>130296</v>
      </c>
      <c r="L1086" s="1" t="s">
        <v>227</v>
      </c>
      <c r="M1086" s="1">
        <v>0</v>
      </c>
      <c r="N1086" s="1">
        <v>13435.34</v>
      </c>
    </row>
    <row r="1087" spans="1:14" x14ac:dyDescent="0.25">
      <c r="A1087" s="1">
        <v>2086</v>
      </c>
      <c r="B1087" s="1" t="s">
        <v>550</v>
      </c>
      <c r="C1087" s="1" t="s">
        <v>239</v>
      </c>
      <c r="D1087" s="1" t="s">
        <v>245</v>
      </c>
      <c r="E1087" s="1" t="s">
        <v>124</v>
      </c>
      <c r="F1087" s="1" t="s">
        <v>215</v>
      </c>
      <c r="G1087" s="1" t="s">
        <v>216</v>
      </c>
      <c r="H1087" s="1" t="s">
        <v>217</v>
      </c>
      <c r="I1087" s="1">
        <v>2</v>
      </c>
      <c r="J1087" s="1">
        <v>7986</v>
      </c>
      <c r="K1087" s="1">
        <v>13576.2</v>
      </c>
      <c r="L1087" s="1" t="s">
        <v>240</v>
      </c>
      <c r="M1087" s="1">
        <v>15</v>
      </c>
      <c r="N1087" s="1">
        <v>2995.21</v>
      </c>
    </row>
    <row r="1088" spans="1:14" x14ac:dyDescent="0.25">
      <c r="A1088" s="1">
        <v>2087</v>
      </c>
      <c r="B1088" s="1" t="s">
        <v>551</v>
      </c>
      <c r="C1088" s="1" t="s">
        <v>229</v>
      </c>
      <c r="D1088" s="1" t="s">
        <v>220</v>
      </c>
      <c r="E1088" s="1" t="s">
        <v>85</v>
      </c>
      <c r="F1088" s="1" t="s">
        <v>215</v>
      </c>
      <c r="G1088" s="1" t="s">
        <v>216</v>
      </c>
      <c r="H1088" s="1" t="s">
        <v>128</v>
      </c>
      <c r="I1088" s="1">
        <v>2</v>
      </c>
      <c r="J1088" s="1">
        <v>17000</v>
      </c>
      <c r="K1088" s="1">
        <v>30600</v>
      </c>
      <c r="L1088" s="1" t="s">
        <v>218</v>
      </c>
      <c r="M1088" s="1">
        <v>10</v>
      </c>
      <c r="N1088" s="1">
        <v>4281.7299999999996</v>
      </c>
    </row>
    <row r="1089" spans="1:14" x14ac:dyDescent="0.25">
      <c r="A1089" s="1">
        <v>2088</v>
      </c>
      <c r="B1089" s="1" t="s">
        <v>551</v>
      </c>
      <c r="C1089" s="1" t="s">
        <v>219</v>
      </c>
      <c r="D1089" s="1" t="s">
        <v>220</v>
      </c>
      <c r="E1089" s="1" t="s">
        <v>85</v>
      </c>
      <c r="F1089" s="1" t="s">
        <v>230</v>
      </c>
      <c r="G1089" s="1" t="s">
        <v>242</v>
      </c>
      <c r="H1089" s="1" t="s">
        <v>221</v>
      </c>
      <c r="I1089" s="1">
        <v>3</v>
      </c>
      <c r="J1089" s="1">
        <v>9757</v>
      </c>
      <c r="K1089" s="1">
        <v>26343.9</v>
      </c>
      <c r="L1089" s="1" t="s">
        <v>218</v>
      </c>
      <c r="M1089" s="1">
        <v>10</v>
      </c>
      <c r="N1089" s="1">
        <v>3750.13</v>
      </c>
    </row>
    <row r="1090" spans="1:14" x14ac:dyDescent="0.25">
      <c r="A1090" s="1">
        <v>2089</v>
      </c>
      <c r="B1090" s="1" t="s">
        <v>551</v>
      </c>
      <c r="C1090" s="1" t="s">
        <v>213</v>
      </c>
      <c r="D1090" s="1" t="s">
        <v>214</v>
      </c>
      <c r="E1090" s="1" t="s">
        <v>124</v>
      </c>
      <c r="F1090" s="1" t="s">
        <v>230</v>
      </c>
      <c r="G1090" s="1" t="s">
        <v>242</v>
      </c>
      <c r="H1090" s="1" t="s">
        <v>221</v>
      </c>
      <c r="I1090" s="1">
        <v>2</v>
      </c>
      <c r="J1090" s="1">
        <v>35730</v>
      </c>
      <c r="K1090" s="1">
        <v>60741</v>
      </c>
      <c r="L1090" s="1" t="s">
        <v>227</v>
      </c>
      <c r="M1090" s="1">
        <v>15</v>
      </c>
      <c r="N1090" s="1">
        <v>17292.849999999999</v>
      </c>
    </row>
    <row r="1091" spans="1:14" x14ac:dyDescent="0.25">
      <c r="A1091" s="1">
        <v>2090</v>
      </c>
      <c r="B1091" s="1" t="s">
        <v>552</v>
      </c>
      <c r="C1091" s="1" t="s">
        <v>219</v>
      </c>
      <c r="D1091" s="1" t="s">
        <v>220</v>
      </c>
      <c r="E1091" s="1" t="s">
        <v>85</v>
      </c>
      <c r="F1091" s="1" t="s">
        <v>230</v>
      </c>
      <c r="G1091" s="1" t="s">
        <v>241</v>
      </c>
      <c r="H1091" s="1" t="s">
        <v>128</v>
      </c>
      <c r="I1091" s="1">
        <v>5</v>
      </c>
      <c r="J1091" s="1">
        <v>31458</v>
      </c>
      <c r="K1091" s="1">
        <v>149425.5</v>
      </c>
      <c r="L1091" s="1" t="s">
        <v>218</v>
      </c>
      <c r="M1091" s="1">
        <v>5</v>
      </c>
      <c r="N1091" s="1">
        <v>31015.87</v>
      </c>
    </row>
    <row r="1092" spans="1:14" x14ac:dyDescent="0.25">
      <c r="A1092" s="1">
        <v>2091</v>
      </c>
      <c r="B1092" s="1" t="s">
        <v>552</v>
      </c>
      <c r="C1092" s="1" t="s">
        <v>213</v>
      </c>
      <c r="D1092" s="1" t="s">
        <v>224</v>
      </c>
      <c r="E1092" s="1" t="s">
        <v>233</v>
      </c>
      <c r="F1092" s="1" t="s">
        <v>230</v>
      </c>
      <c r="G1092" s="1" t="s">
        <v>241</v>
      </c>
      <c r="H1092" s="1" t="s">
        <v>234</v>
      </c>
      <c r="I1092" s="1">
        <v>3</v>
      </c>
      <c r="J1092" s="1">
        <v>33755</v>
      </c>
      <c r="K1092" s="1">
        <v>96201.75</v>
      </c>
      <c r="L1092" s="1" t="s">
        <v>227</v>
      </c>
      <c r="M1092" s="1">
        <v>5</v>
      </c>
      <c r="N1092" s="1">
        <v>11106.27</v>
      </c>
    </row>
    <row r="1093" spans="1:14" x14ac:dyDescent="0.25">
      <c r="A1093" s="1">
        <v>2092</v>
      </c>
      <c r="B1093" s="1" t="s">
        <v>552</v>
      </c>
      <c r="C1093" s="1" t="s">
        <v>239</v>
      </c>
      <c r="D1093" s="1" t="s">
        <v>214</v>
      </c>
      <c r="E1093" s="1" t="s">
        <v>124</v>
      </c>
      <c r="F1093" s="1" t="s">
        <v>230</v>
      </c>
      <c r="G1093" s="1" t="s">
        <v>241</v>
      </c>
      <c r="H1093" s="1" t="s">
        <v>234</v>
      </c>
      <c r="I1093" s="1">
        <v>4</v>
      </c>
      <c r="J1093" s="1">
        <v>34970</v>
      </c>
      <c r="K1093" s="1">
        <v>118898</v>
      </c>
      <c r="L1093" s="1" t="s">
        <v>218</v>
      </c>
      <c r="M1093" s="1">
        <v>15</v>
      </c>
      <c r="N1093" s="1">
        <v>13419.21</v>
      </c>
    </row>
    <row r="1094" spans="1:14" x14ac:dyDescent="0.25">
      <c r="A1094" s="1">
        <v>2093</v>
      </c>
      <c r="B1094" s="1" t="s">
        <v>552</v>
      </c>
      <c r="C1094" s="1" t="s">
        <v>213</v>
      </c>
      <c r="D1094" s="1" t="s">
        <v>245</v>
      </c>
      <c r="E1094" s="1" t="s">
        <v>124</v>
      </c>
      <c r="F1094" s="1" t="s">
        <v>230</v>
      </c>
      <c r="G1094" s="1" t="s">
        <v>242</v>
      </c>
      <c r="H1094" s="1" t="s">
        <v>217</v>
      </c>
      <c r="I1094" s="1">
        <v>5</v>
      </c>
      <c r="J1094" s="1">
        <v>22082</v>
      </c>
      <c r="K1094" s="1">
        <v>110410</v>
      </c>
      <c r="L1094" s="1" t="s">
        <v>218</v>
      </c>
      <c r="M1094" s="1">
        <v>0</v>
      </c>
      <c r="N1094" s="1">
        <v>29817.42</v>
      </c>
    </row>
    <row r="1095" spans="1:14" x14ac:dyDescent="0.25">
      <c r="A1095" s="1">
        <v>2094</v>
      </c>
      <c r="B1095" s="1" t="s">
        <v>553</v>
      </c>
      <c r="C1095" s="1" t="s">
        <v>239</v>
      </c>
      <c r="D1095" s="1" t="s">
        <v>224</v>
      </c>
      <c r="E1095" s="1" t="s">
        <v>233</v>
      </c>
      <c r="F1095" s="1" t="s">
        <v>225</v>
      </c>
      <c r="G1095" s="1" t="s">
        <v>248</v>
      </c>
      <c r="H1095" s="1" t="s">
        <v>128</v>
      </c>
      <c r="I1095" s="1">
        <v>5</v>
      </c>
      <c r="J1095" s="1">
        <v>46685</v>
      </c>
      <c r="K1095" s="1">
        <v>210082.5</v>
      </c>
      <c r="L1095" s="1" t="s">
        <v>227</v>
      </c>
      <c r="M1095" s="1">
        <v>10</v>
      </c>
      <c r="N1095" s="1">
        <v>42171.92</v>
      </c>
    </row>
    <row r="1096" spans="1:14" x14ac:dyDescent="0.25">
      <c r="A1096" s="1">
        <v>2095</v>
      </c>
      <c r="B1096" s="1" t="s">
        <v>553</v>
      </c>
      <c r="C1096" s="1" t="s">
        <v>229</v>
      </c>
      <c r="D1096" s="1" t="s">
        <v>232</v>
      </c>
      <c r="E1096" s="1" t="s">
        <v>233</v>
      </c>
      <c r="F1096" s="1" t="s">
        <v>230</v>
      </c>
      <c r="G1096" s="1" t="s">
        <v>242</v>
      </c>
      <c r="H1096" s="1" t="s">
        <v>221</v>
      </c>
      <c r="I1096" s="1">
        <v>1</v>
      </c>
      <c r="J1096" s="1">
        <v>37309</v>
      </c>
      <c r="K1096" s="1">
        <v>37309</v>
      </c>
      <c r="L1096" s="1" t="s">
        <v>227</v>
      </c>
      <c r="M1096" s="1">
        <v>0</v>
      </c>
      <c r="N1096" s="1">
        <v>6514.09</v>
      </c>
    </row>
    <row r="1097" spans="1:14" x14ac:dyDescent="0.25">
      <c r="A1097" s="1">
        <v>2096</v>
      </c>
      <c r="B1097" s="1" t="s">
        <v>553</v>
      </c>
      <c r="C1097" s="1" t="s">
        <v>229</v>
      </c>
      <c r="D1097" s="1" t="s">
        <v>245</v>
      </c>
      <c r="E1097" s="1" t="s">
        <v>124</v>
      </c>
      <c r="F1097" s="1" t="s">
        <v>215</v>
      </c>
      <c r="G1097" s="1" t="s">
        <v>244</v>
      </c>
      <c r="H1097" s="1" t="s">
        <v>221</v>
      </c>
      <c r="I1097" s="1">
        <v>5</v>
      </c>
      <c r="J1097" s="1">
        <v>19976</v>
      </c>
      <c r="K1097" s="1">
        <v>94886</v>
      </c>
      <c r="L1097" s="1" t="s">
        <v>222</v>
      </c>
      <c r="M1097" s="1">
        <v>5</v>
      </c>
      <c r="N1097" s="1">
        <v>13639.84</v>
      </c>
    </row>
    <row r="1098" spans="1:14" x14ac:dyDescent="0.25">
      <c r="A1098" s="1">
        <v>2097</v>
      </c>
      <c r="B1098" s="1" t="s">
        <v>553</v>
      </c>
      <c r="C1098" s="1" t="s">
        <v>229</v>
      </c>
      <c r="D1098" s="1" t="s">
        <v>224</v>
      </c>
      <c r="E1098" s="1" t="s">
        <v>233</v>
      </c>
      <c r="F1098" s="1" t="s">
        <v>215</v>
      </c>
      <c r="G1098" s="1" t="s">
        <v>216</v>
      </c>
      <c r="H1098" s="1" t="s">
        <v>234</v>
      </c>
      <c r="I1098" s="1">
        <v>4</v>
      </c>
      <c r="J1098" s="1">
        <v>21805</v>
      </c>
      <c r="K1098" s="1">
        <v>74137</v>
      </c>
      <c r="L1098" s="1" t="s">
        <v>222</v>
      </c>
      <c r="M1098" s="1">
        <v>15</v>
      </c>
      <c r="N1098" s="1">
        <v>8316.4699999999993</v>
      </c>
    </row>
    <row r="1099" spans="1:14" x14ac:dyDescent="0.25">
      <c r="A1099" s="1">
        <v>2098</v>
      </c>
      <c r="B1099" s="1" t="s">
        <v>554</v>
      </c>
      <c r="C1099" s="1" t="s">
        <v>229</v>
      </c>
      <c r="D1099" s="1" t="s">
        <v>245</v>
      </c>
      <c r="E1099" s="1" t="s">
        <v>124</v>
      </c>
      <c r="F1099" s="1" t="s">
        <v>230</v>
      </c>
      <c r="G1099" s="1" t="s">
        <v>241</v>
      </c>
      <c r="H1099" s="1" t="s">
        <v>217</v>
      </c>
      <c r="I1099" s="1">
        <v>2</v>
      </c>
      <c r="J1099" s="1">
        <v>9399</v>
      </c>
      <c r="K1099" s="1">
        <v>17858.099999999999</v>
      </c>
      <c r="L1099" s="1" t="s">
        <v>240</v>
      </c>
      <c r="M1099" s="1">
        <v>5</v>
      </c>
      <c r="N1099" s="1">
        <v>4951.57</v>
      </c>
    </row>
    <row r="1100" spans="1:14" x14ac:dyDescent="0.25">
      <c r="A1100" s="1">
        <v>2099</v>
      </c>
      <c r="B1100" s="1" t="s">
        <v>554</v>
      </c>
      <c r="C1100" s="1" t="s">
        <v>219</v>
      </c>
      <c r="D1100" s="1" t="s">
        <v>245</v>
      </c>
      <c r="E1100" s="1" t="s">
        <v>124</v>
      </c>
      <c r="F1100" s="1" t="s">
        <v>230</v>
      </c>
      <c r="G1100" s="1" t="s">
        <v>231</v>
      </c>
      <c r="H1100" s="1" t="s">
        <v>234</v>
      </c>
      <c r="I1100" s="1">
        <v>1</v>
      </c>
      <c r="J1100" s="1">
        <v>644</v>
      </c>
      <c r="K1100" s="1">
        <v>644</v>
      </c>
      <c r="L1100" s="1" t="s">
        <v>222</v>
      </c>
      <c r="M1100" s="1">
        <v>0</v>
      </c>
      <c r="N1100" s="1">
        <v>71.989999999999995</v>
      </c>
    </row>
    <row r="1101" spans="1:14" x14ac:dyDescent="0.25">
      <c r="A1101" s="1">
        <v>2100</v>
      </c>
      <c r="B1101" s="1" t="s">
        <v>554</v>
      </c>
      <c r="C1101" s="1" t="s">
        <v>229</v>
      </c>
      <c r="D1101" s="1" t="s">
        <v>245</v>
      </c>
      <c r="E1101" s="1" t="s">
        <v>124</v>
      </c>
      <c r="F1101" s="1" t="s">
        <v>225</v>
      </c>
      <c r="G1101" s="1" t="s">
        <v>248</v>
      </c>
      <c r="H1101" s="1" t="s">
        <v>217</v>
      </c>
      <c r="I1101" s="1">
        <v>5</v>
      </c>
      <c r="J1101" s="1">
        <v>40144</v>
      </c>
      <c r="K1101" s="1">
        <v>180648</v>
      </c>
      <c r="L1101" s="1" t="s">
        <v>240</v>
      </c>
      <c r="M1101" s="1">
        <v>10</v>
      </c>
      <c r="N1101" s="1">
        <v>32788.06</v>
      </c>
    </row>
    <row r="1102" spans="1:14" x14ac:dyDescent="0.25">
      <c r="A1102" s="1">
        <v>2101</v>
      </c>
      <c r="B1102" s="1" t="s">
        <v>554</v>
      </c>
      <c r="C1102" s="1" t="s">
        <v>239</v>
      </c>
      <c r="D1102" s="1" t="s">
        <v>245</v>
      </c>
      <c r="E1102" s="1" t="s">
        <v>124</v>
      </c>
      <c r="F1102" s="1" t="s">
        <v>215</v>
      </c>
      <c r="G1102" s="1" t="s">
        <v>246</v>
      </c>
      <c r="H1102" s="1" t="s">
        <v>234</v>
      </c>
      <c r="I1102" s="1">
        <v>3</v>
      </c>
      <c r="J1102" s="1">
        <v>34134</v>
      </c>
      <c r="K1102" s="1">
        <v>97281.9</v>
      </c>
      <c r="L1102" s="1" t="s">
        <v>222</v>
      </c>
      <c r="M1102" s="1">
        <v>5</v>
      </c>
      <c r="N1102" s="1">
        <v>16288.45</v>
      </c>
    </row>
    <row r="1103" spans="1:14" x14ac:dyDescent="0.25">
      <c r="A1103" s="1">
        <v>2102</v>
      </c>
      <c r="B1103" s="1" t="s">
        <v>554</v>
      </c>
      <c r="C1103" s="1" t="s">
        <v>223</v>
      </c>
      <c r="D1103" s="1" t="s">
        <v>220</v>
      </c>
      <c r="E1103" s="1" t="s">
        <v>85</v>
      </c>
      <c r="F1103" s="1" t="s">
        <v>225</v>
      </c>
      <c r="G1103" s="1" t="s">
        <v>226</v>
      </c>
      <c r="H1103" s="1" t="s">
        <v>221</v>
      </c>
      <c r="I1103" s="1">
        <v>2</v>
      </c>
      <c r="J1103" s="1">
        <v>36497</v>
      </c>
      <c r="K1103" s="1">
        <v>69344.3</v>
      </c>
      <c r="L1103" s="1" t="s">
        <v>222</v>
      </c>
      <c r="M1103" s="1">
        <v>5</v>
      </c>
      <c r="N1103" s="1">
        <v>20535.400000000001</v>
      </c>
    </row>
    <row r="1104" spans="1:14" x14ac:dyDescent="0.25">
      <c r="A1104" s="1">
        <v>2103</v>
      </c>
      <c r="B1104" s="1" t="s">
        <v>555</v>
      </c>
      <c r="C1104" s="1" t="s">
        <v>213</v>
      </c>
      <c r="D1104" s="1" t="s">
        <v>232</v>
      </c>
      <c r="E1104" s="1" t="s">
        <v>233</v>
      </c>
      <c r="F1104" s="1" t="s">
        <v>230</v>
      </c>
      <c r="G1104" s="1" t="s">
        <v>231</v>
      </c>
      <c r="H1104" s="1" t="s">
        <v>128</v>
      </c>
      <c r="I1104" s="1">
        <v>3</v>
      </c>
      <c r="J1104" s="1">
        <v>37077</v>
      </c>
      <c r="K1104" s="1">
        <v>100107.9</v>
      </c>
      <c r="L1104" s="1" t="s">
        <v>240</v>
      </c>
      <c r="M1104" s="1">
        <v>10</v>
      </c>
      <c r="N1104" s="1">
        <v>18945.47</v>
      </c>
    </row>
    <row r="1105" spans="1:14" x14ac:dyDescent="0.25">
      <c r="A1105" s="1">
        <v>2104</v>
      </c>
      <c r="B1105" s="1" t="s">
        <v>555</v>
      </c>
      <c r="C1105" s="1" t="s">
        <v>219</v>
      </c>
      <c r="D1105" s="1" t="s">
        <v>214</v>
      </c>
      <c r="E1105" s="1" t="s">
        <v>124</v>
      </c>
      <c r="F1105" s="1" t="s">
        <v>230</v>
      </c>
      <c r="G1105" s="1" t="s">
        <v>241</v>
      </c>
      <c r="H1105" s="1" t="s">
        <v>217</v>
      </c>
      <c r="I1105" s="1">
        <v>4</v>
      </c>
      <c r="J1105" s="1">
        <v>33089</v>
      </c>
      <c r="K1105" s="1">
        <v>119120.4</v>
      </c>
      <c r="L1105" s="1" t="s">
        <v>227</v>
      </c>
      <c r="M1105" s="1">
        <v>10</v>
      </c>
      <c r="N1105" s="1">
        <v>24047.48</v>
      </c>
    </row>
    <row r="1106" spans="1:14" x14ac:dyDescent="0.25">
      <c r="A1106" s="1">
        <v>2105</v>
      </c>
      <c r="B1106" s="1" t="s">
        <v>555</v>
      </c>
      <c r="C1106" s="1" t="s">
        <v>213</v>
      </c>
      <c r="D1106" s="1" t="s">
        <v>224</v>
      </c>
      <c r="E1106" s="1" t="s">
        <v>233</v>
      </c>
      <c r="F1106" s="1" t="s">
        <v>215</v>
      </c>
      <c r="G1106" s="1" t="s">
        <v>246</v>
      </c>
      <c r="H1106" s="1" t="s">
        <v>221</v>
      </c>
      <c r="I1106" s="1">
        <v>1</v>
      </c>
      <c r="J1106" s="1">
        <v>6144</v>
      </c>
      <c r="K1106" s="1">
        <v>6144</v>
      </c>
      <c r="L1106" s="1" t="s">
        <v>227</v>
      </c>
      <c r="M1106" s="1">
        <v>0</v>
      </c>
      <c r="N1106" s="1">
        <v>674.4</v>
      </c>
    </row>
    <row r="1107" spans="1:14" x14ac:dyDescent="0.25">
      <c r="A1107" s="1">
        <v>2106</v>
      </c>
      <c r="B1107" s="1" t="s">
        <v>556</v>
      </c>
      <c r="C1107" s="1" t="s">
        <v>219</v>
      </c>
      <c r="D1107" s="1" t="s">
        <v>214</v>
      </c>
      <c r="E1107" s="1" t="s">
        <v>124</v>
      </c>
      <c r="F1107" s="1" t="s">
        <v>215</v>
      </c>
      <c r="G1107" s="1" t="s">
        <v>244</v>
      </c>
      <c r="H1107" s="1" t="s">
        <v>217</v>
      </c>
      <c r="I1107" s="1">
        <v>2</v>
      </c>
      <c r="J1107" s="1">
        <v>1109</v>
      </c>
      <c r="K1107" s="1">
        <v>2107.1</v>
      </c>
      <c r="L1107" s="1" t="s">
        <v>218</v>
      </c>
      <c r="M1107" s="1">
        <v>5</v>
      </c>
      <c r="N1107" s="1">
        <v>609.41999999999996</v>
      </c>
    </row>
    <row r="1108" spans="1:14" x14ac:dyDescent="0.25">
      <c r="A1108" s="1">
        <v>2107</v>
      </c>
      <c r="B1108" s="1" t="s">
        <v>556</v>
      </c>
      <c r="C1108" s="1" t="s">
        <v>229</v>
      </c>
      <c r="D1108" s="1" t="s">
        <v>220</v>
      </c>
      <c r="E1108" s="1" t="s">
        <v>85</v>
      </c>
      <c r="F1108" s="1" t="s">
        <v>215</v>
      </c>
      <c r="G1108" s="1" t="s">
        <v>244</v>
      </c>
      <c r="H1108" s="1" t="s">
        <v>221</v>
      </c>
      <c r="I1108" s="1">
        <v>1</v>
      </c>
      <c r="J1108" s="1">
        <v>17102</v>
      </c>
      <c r="K1108" s="1">
        <v>16246.9</v>
      </c>
      <c r="L1108" s="1" t="s">
        <v>218</v>
      </c>
      <c r="M1108" s="1">
        <v>5</v>
      </c>
      <c r="N1108" s="1">
        <v>2243.4299999999998</v>
      </c>
    </row>
    <row r="1109" spans="1:14" x14ac:dyDescent="0.25">
      <c r="A1109" s="1">
        <v>2108</v>
      </c>
      <c r="B1109" s="1" t="s">
        <v>556</v>
      </c>
      <c r="C1109" s="1" t="s">
        <v>229</v>
      </c>
      <c r="D1109" s="1" t="s">
        <v>214</v>
      </c>
      <c r="E1109" s="1" t="s">
        <v>124</v>
      </c>
      <c r="F1109" s="1" t="s">
        <v>225</v>
      </c>
      <c r="G1109" s="1" t="s">
        <v>248</v>
      </c>
      <c r="H1109" s="1" t="s">
        <v>217</v>
      </c>
      <c r="I1109" s="1">
        <v>1</v>
      </c>
      <c r="J1109" s="1">
        <v>15070</v>
      </c>
      <c r="K1109" s="1">
        <v>13563</v>
      </c>
      <c r="L1109" s="1" t="s">
        <v>218</v>
      </c>
      <c r="M1109" s="1">
        <v>10</v>
      </c>
      <c r="N1109" s="1">
        <v>2762.13</v>
      </c>
    </row>
    <row r="1110" spans="1:14" x14ac:dyDescent="0.25">
      <c r="A1110" s="1">
        <v>2109</v>
      </c>
      <c r="B1110" s="1" t="s">
        <v>556</v>
      </c>
      <c r="C1110" s="1" t="s">
        <v>219</v>
      </c>
      <c r="D1110" s="1" t="s">
        <v>245</v>
      </c>
      <c r="E1110" s="1" t="s">
        <v>124</v>
      </c>
      <c r="F1110" s="1" t="s">
        <v>215</v>
      </c>
      <c r="G1110" s="1" t="s">
        <v>246</v>
      </c>
      <c r="H1110" s="1" t="s">
        <v>221</v>
      </c>
      <c r="I1110" s="1">
        <v>1</v>
      </c>
      <c r="J1110" s="1">
        <v>39713</v>
      </c>
      <c r="K1110" s="1">
        <v>33756.050000000003</v>
      </c>
      <c r="L1110" s="1" t="s">
        <v>240</v>
      </c>
      <c r="M1110" s="1">
        <v>15</v>
      </c>
      <c r="N1110" s="1">
        <v>5958.29</v>
      </c>
    </row>
    <row r="1111" spans="1:14" x14ac:dyDescent="0.25">
      <c r="A1111" s="1">
        <v>2110</v>
      </c>
      <c r="B1111" s="1" t="s">
        <v>557</v>
      </c>
      <c r="C1111" s="1" t="s">
        <v>213</v>
      </c>
      <c r="D1111" s="1" t="s">
        <v>224</v>
      </c>
      <c r="E1111" s="1" t="s">
        <v>233</v>
      </c>
      <c r="F1111" s="1" t="s">
        <v>230</v>
      </c>
      <c r="G1111" s="1" t="s">
        <v>241</v>
      </c>
      <c r="H1111" s="1" t="s">
        <v>217</v>
      </c>
      <c r="I1111" s="1">
        <v>5</v>
      </c>
      <c r="J1111" s="1">
        <v>39592</v>
      </c>
      <c r="K1111" s="1">
        <v>168266</v>
      </c>
      <c r="L1111" s="1" t="s">
        <v>227</v>
      </c>
      <c r="M1111" s="1">
        <v>15</v>
      </c>
      <c r="N1111" s="1">
        <v>26437.79</v>
      </c>
    </row>
    <row r="1112" spans="1:14" x14ac:dyDescent="0.25">
      <c r="A1112" s="1">
        <v>2111</v>
      </c>
      <c r="B1112" s="1" t="s">
        <v>557</v>
      </c>
      <c r="C1112" s="1" t="s">
        <v>223</v>
      </c>
      <c r="D1112" s="1" t="s">
        <v>220</v>
      </c>
      <c r="E1112" s="1" t="s">
        <v>85</v>
      </c>
      <c r="F1112" s="1" t="s">
        <v>225</v>
      </c>
      <c r="G1112" s="1" t="s">
        <v>248</v>
      </c>
      <c r="H1112" s="1" t="s">
        <v>234</v>
      </c>
      <c r="I1112" s="1">
        <v>2</v>
      </c>
      <c r="J1112" s="1">
        <v>16534</v>
      </c>
      <c r="K1112" s="1">
        <v>31414.6</v>
      </c>
      <c r="L1112" s="1" t="s">
        <v>240</v>
      </c>
      <c r="M1112" s="1">
        <v>5</v>
      </c>
      <c r="N1112" s="1">
        <v>4389.84</v>
      </c>
    </row>
    <row r="1113" spans="1:14" x14ac:dyDescent="0.25">
      <c r="A1113" s="1">
        <v>2112</v>
      </c>
      <c r="B1113" s="1" t="s">
        <v>557</v>
      </c>
      <c r="C1113" s="1" t="s">
        <v>213</v>
      </c>
      <c r="D1113" s="1" t="s">
        <v>224</v>
      </c>
      <c r="E1113" s="1" t="s">
        <v>233</v>
      </c>
      <c r="F1113" s="1" t="s">
        <v>225</v>
      </c>
      <c r="G1113" s="1" t="s">
        <v>226</v>
      </c>
      <c r="H1113" s="1" t="s">
        <v>217</v>
      </c>
      <c r="I1113" s="1">
        <v>3</v>
      </c>
      <c r="J1113" s="1">
        <v>15856</v>
      </c>
      <c r="K1113" s="1">
        <v>45189.599999999999</v>
      </c>
      <c r="L1113" s="1" t="s">
        <v>222</v>
      </c>
      <c r="M1113" s="1">
        <v>5</v>
      </c>
      <c r="N1113" s="1">
        <v>13268.63</v>
      </c>
    </row>
    <row r="1114" spans="1:14" x14ac:dyDescent="0.25">
      <c r="A1114" s="1">
        <v>2113</v>
      </c>
      <c r="B1114" s="1" t="s">
        <v>558</v>
      </c>
      <c r="C1114" s="1" t="s">
        <v>229</v>
      </c>
      <c r="D1114" s="1" t="s">
        <v>224</v>
      </c>
      <c r="E1114" s="1" t="s">
        <v>233</v>
      </c>
      <c r="F1114" s="1" t="s">
        <v>230</v>
      </c>
      <c r="G1114" s="1" t="s">
        <v>231</v>
      </c>
      <c r="H1114" s="1" t="s">
        <v>221</v>
      </c>
      <c r="I1114" s="1">
        <v>3</v>
      </c>
      <c r="J1114" s="1">
        <v>24458</v>
      </c>
      <c r="K1114" s="1">
        <v>66036.600000000006</v>
      </c>
      <c r="L1114" s="1" t="s">
        <v>227</v>
      </c>
      <c r="M1114" s="1">
        <v>10</v>
      </c>
      <c r="N1114" s="1">
        <v>17177.419999999998</v>
      </c>
    </row>
    <row r="1115" spans="1:14" x14ac:dyDescent="0.25">
      <c r="A1115" s="1">
        <v>2114</v>
      </c>
      <c r="B1115" s="1" t="s">
        <v>558</v>
      </c>
      <c r="C1115" s="1" t="s">
        <v>229</v>
      </c>
      <c r="D1115" s="1" t="s">
        <v>224</v>
      </c>
      <c r="E1115" s="1" t="s">
        <v>233</v>
      </c>
      <c r="F1115" s="1" t="s">
        <v>215</v>
      </c>
      <c r="G1115" s="1" t="s">
        <v>244</v>
      </c>
      <c r="H1115" s="1" t="s">
        <v>128</v>
      </c>
      <c r="I1115" s="1">
        <v>2</v>
      </c>
      <c r="J1115" s="1">
        <v>33838</v>
      </c>
      <c r="K1115" s="1">
        <v>57524.6</v>
      </c>
      <c r="L1115" s="1" t="s">
        <v>240</v>
      </c>
      <c r="M1115" s="1">
        <v>15</v>
      </c>
      <c r="N1115" s="1">
        <v>16908.23</v>
      </c>
    </row>
    <row r="1116" spans="1:14" x14ac:dyDescent="0.25">
      <c r="A1116" s="1">
        <v>2115</v>
      </c>
      <c r="B1116" s="1" t="s">
        <v>559</v>
      </c>
      <c r="C1116" s="1" t="s">
        <v>213</v>
      </c>
      <c r="D1116" s="1" t="s">
        <v>214</v>
      </c>
      <c r="E1116" s="1" t="s">
        <v>124</v>
      </c>
      <c r="F1116" s="1" t="s">
        <v>225</v>
      </c>
      <c r="G1116" s="1" t="s">
        <v>248</v>
      </c>
      <c r="H1116" s="1" t="s">
        <v>234</v>
      </c>
      <c r="I1116" s="1">
        <v>2</v>
      </c>
      <c r="J1116" s="1">
        <v>18476</v>
      </c>
      <c r="K1116" s="1">
        <v>33256.800000000003</v>
      </c>
      <c r="L1116" s="1" t="s">
        <v>222</v>
      </c>
      <c r="M1116" s="1">
        <v>10</v>
      </c>
      <c r="N1116" s="1">
        <v>8664.66</v>
      </c>
    </row>
    <row r="1117" spans="1:14" x14ac:dyDescent="0.25">
      <c r="A1117" s="1">
        <v>2116</v>
      </c>
      <c r="B1117" s="1" t="s">
        <v>559</v>
      </c>
      <c r="C1117" s="1" t="s">
        <v>223</v>
      </c>
      <c r="D1117" s="1" t="s">
        <v>232</v>
      </c>
      <c r="E1117" s="1" t="s">
        <v>233</v>
      </c>
      <c r="F1117" s="1" t="s">
        <v>225</v>
      </c>
      <c r="G1117" s="1" t="s">
        <v>248</v>
      </c>
      <c r="H1117" s="1" t="s">
        <v>221</v>
      </c>
      <c r="I1117" s="1">
        <v>5</v>
      </c>
      <c r="J1117" s="1">
        <v>27963</v>
      </c>
      <c r="K1117" s="1">
        <v>139815</v>
      </c>
      <c r="L1117" s="1" t="s">
        <v>222</v>
      </c>
      <c r="M1117" s="1">
        <v>0</v>
      </c>
      <c r="N1117" s="1">
        <v>39295.360000000001</v>
      </c>
    </row>
    <row r="1118" spans="1:14" x14ac:dyDescent="0.25">
      <c r="A1118" s="1">
        <v>2117</v>
      </c>
      <c r="B1118" s="1" t="s">
        <v>559</v>
      </c>
      <c r="C1118" s="1" t="s">
        <v>239</v>
      </c>
      <c r="D1118" s="1" t="s">
        <v>214</v>
      </c>
      <c r="E1118" s="1" t="s">
        <v>124</v>
      </c>
      <c r="F1118" s="1" t="s">
        <v>225</v>
      </c>
      <c r="G1118" s="1" t="s">
        <v>248</v>
      </c>
      <c r="H1118" s="1" t="s">
        <v>217</v>
      </c>
      <c r="I1118" s="1">
        <v>4</v>
      </c>
      <c r="J1118" s="1">
        <v>7172</v>
      </c>
      <c r="K1118" s="1">
        <v>24384.799999999999</v>
      </c>
      <c r="L1118" s="1" t="s">
        <v>218</v>
      </c>
      <c r="M1118" s="1">
        <v>15</v>
      </c>
      <c r="N1118" s="1">
        <v>5770.95</v>
      </c>
    </row>
    <row r="1119" spans="1:14" x14ac:dyDescent="0.25">
      <c r="A1119" s="1">
        <v>2118</v>
      </c>
      <c r="B1119" s="1" t="s">
        <v>560</v>
      </c>
      <c r="C1119" s="1" t="s">
        <v>229</v>
      </c>
      <c r="D1119" s="1" t="s">
        <v>214</v>
      </c>
      <c r="E1119" s="1" t="s">
        <v>124</v>
      </c>
      <c r="F1119" s="1" t="s">
        <v>225</v>
      </c>
      <c r="G1119" s="1" t="s">
        <v>236</v>
      </c>
      <c r="H1119" s="1" t="s">
        <v>128</v>
      </c>
      <c r="I1119" s="1">
        <v>5</v>
      </c>
      <c r="J1119" s="1">
        <v>48263</v>
      </c>
      <c r="K1119" s="1">
        <v>205117.75</v>
      </c>
      <c r="L1119" s="1" t="s">
        <v>222</v>
      </c>
      <c r="M1119" s="1">
        <v>15</v>
      </c>
      <c r="N1119" s="1">
        <v>50432.2</v>
      </c>
    </row>
    <row r="1120" spans="1:14" x14ac:dyDescent="0.25">
      <c r="A1120" s="1">
        <v>2119</v>
      </c>
      <c r="B1120" s="1" t="s">
        <v>560</v>
      </c>
      <c r="C1120" s="1" t="s">
        <v>229</v>
      </c>
      <c r="D1120" s="1" t="s">
        <v>224</v>
      </c>
      <c r="E1120" s="1" t="s">
        <v>233</v>
      </c>
      <c r="F1120" s="1" t="s">
        <v>225</v>
      </c>
      <c r="G1120" s="1" t="s">
        <v>248</v>
      </c>
      <c r="H1120" s="1" t="s">
        <v>234</v>
      </c>
      <c r="I1120" s="1">
        <v>5</v>
      </c>
      <c r="J1120" s="1">
        <v>14484</v>
      </c>
      <c r="K1120" s="1">
        <v>68799</v>
      </c>
      <c r="L1120" s="1" t="s">
        <v>227</v>
      </c>
      <c r="M1120" s="1">
        <v>5</v>
      </c>
      <c r="N1120" s="1">
        <v>16325.52</v>
      </c>
    </row>
    <row r="1121" spans="1:14" x14ac:dyDescent="0.25">
      <c r="A1121" s="1">
        <v>2120</v>
      </c>
      <c r="B1121" s="1" t="s">
        <v>561</v>
      </c>
      <c r="C1121" s="1" t="s">
        <v>213</v>
      </c>
      <c r="D1121" s="1" t="s">
        <v>245</v>
      </c>
      <c r="E1121" s="1" t="s">
        <v>124</v>
      </c>
      <c r="F1121" s="1" t="s">
        <v>215</v>
      </c>
      <c r="G1121" s="1" t="s">
        <v>244</v>
      </c>
      <c r="H1121" s="1" t="s">
        <v>221</v>
      </c>
      <c r="I1121" s="1">
        <v>2</v>
      </c>
      <c r="J1121" s="1">
        <v>34969</v>
      </c>
      <c r="K1121" s="1">
        <v>69938</v>
      </c>
      <c r="L1121" s="1" t="s">
        <v>218</v>
      </c>
      <c r="M1121" s="1">
        <v>0</v>
      </c>
      <c r="N1121" s="1">
        <v>17217.830000000002</v>
      </c>
    </row>
    <row r="1122" spans="1:14" x14ac:dyDescent="0.25">
      <c r="A1122" s="1">
        <v>2121</v>
      </c>
      <c r="B1122" s="1" t="s">
        <v>561</v>
      </c>
      <c r="C1122" s="1" t="s">
        <v>213</v>
      </c>
      <c r="D1122" s="1" t="s">
        <v>232</v>
      </c>
      <c r="E1122" s="1" t="s">
        <v>233</v>
      </c>
      <c r="F1122" s="1" t="s">
        <v>215</v>
      </c>
      <c r="G1122" s="1" t="s">
        <v>216</v>
      </c>
      <c r="H1122" s="1" t="s">
        <v>234</v>
      </c>
      <c r="I1122" s="1">
        <v>1</v>
      </c>
      <c r="J1122" s="1">
        <v>12721</v>
      </c>
      <c r="K1122" s="1">
        <v>12084.95</v>
      </c>
      <c r="L1122" s="1" t="s">
        <v>227</v>
      </c>
      <c r="M1122" s="1">
        <v>5</v>
      </c>
      <c r="N1122" s="1">
        <v>1299.71</v>
      </c>
    </row>
    <row r="1123" spans="1:14" x14ac:dyDescent="0.25">
      <c r="A1123" s="1">
        <v>2122</v>
      </c>
      <c r="B1123" s="1" t="s">
        <v>561</v>
      </c>
      <c r="C1123" s="1" t="s">
        <v>213</v>
      </c>
      <c r="D1123" s="1" t="s">
        <v>245</v>
      </c>
      <c r="E1123" s="1" t="s">
        <v>124</v>
      </c>
      <c r="F1123" s="1" t="s">
        <v>225</v>
      </c>
      <c r="G1123" s="1" t="s">
        <v>236</v>
      </c>
      <c r="H1123" s="1" t="s">
        <v>221</v>
      </c>
      <c r="I1123" s="1">
        <v>2</v>
      </c>
      <c r="J1123" s="1">
        <v>33431</v>
      </c>
      <c r="K1123" s="1">
        <v>60175.8</v>
      </c>
      <c r="L1123" s="1" t="s">
        <v>240</v>
      </c>
      <c r="M1123" s="1">
        <v>10</v>
      </c>
      <c r="N1123" s="1">
        <v>16796.61</v>
      </c>
    </row>
    <row r="1124" spans="1:14" x14ac:dyDescent="0.25">
      <c r="A1124" s="1">
        <v>2123</v>
      </c>
      <c r="B1124" s="1" t="s">
        <v>561</v>
      </c>
      <c r="C1124" s="1" t="s">
        <v>219</v>
      </c>
      <c r="D1124" s="1" t="s">
        <v>245</v>
      </c>
      <c r="E1124" s="1" t="s">
        <v>124</v>
      </c>
      <c r="F1124" s="1" t="s">
        <v>230</v>
      </c>
      <c r="G1124" s="1" t="s">
        <v>241</v>
      </c>
      <c r="H1124" s="1" t="s">
        <v>221</v>
      </c>
      <c r="I1124" s="1">
        <v>3</v>
      </c>
      <c r="J1124" s="1">
        <v>2482</v>
      </c>
      <c r="K1124" s="1">
        <v>6329.1</v>
      </c>
      <c r="L1124" s="1" t="s">
        <v>227</v>
      </c>
      <c r="M1124" s="1">
        <v>15</v>
      </c>
      <c r="N1124" s="1">
        <v>1384.95</v>
      </c>
    </row>
    <row r="1125" spans="1:14" x14ac:dyDescent="0.25">
      <c r="A1125" s="1">
        <v>2124</v>
      </c>
      <c r="B1125" s="1" t="s">
        <v>562</v>
      </c>
      <c r="C1125" s="1" t="s">
        <v>239</v>
      </c>
      <c r="D1125" s="1" t="s">
        <v>220</v>
      </c>
      <c r="E1125" s="1" t="s">
        <v>85</v>
      </c>
      <c r="F1125" s="1" t="s">
        <v>215</v>
      </c>
      <c r="G1125" s="1" t="s">
        <v>216</v>
      </c>
      <c r="H1125" s="1" t="s">
        <v>217</v>
      </c>
      <c r="I1125" s="1">
        <v>5</v>
      </c>
      <c r="J1125" s="1">
        <v>18221</v>
      </c>
      <c r="K1125" s="1">
        <v>77439.25</v>
      </c>
      <c r="L1125" s="1" t="s">
        <v>227</v>
      </c>
      <c r="M1125" s="1">
        <v>15</v>
      </c>
      <c r="N1125" s="1">
        <v>21996.240000000002</v>
      </c>
    </row>
    <row r="1126" spans="1:14" x14ac:dyDescent="0.25">
      <c r="A1126" s="1">
        <v>2125</v>
      </c>
      <c r="B1126" s="1" t="s">
        <v>562</v>
      </c>
      <c r="C1126" s="1" t="s">
        <v>223</v>
      </c>
      <c r="D1126" s="1" t="s">
        <v>232</v>
      </c>
      <c r="E1126" s="1" t="s">
        <v>233</v>
      </c>
      <c r="F1126" s="1" t="s">
        <v>225</v>
      </c>
      <c r="G1126" s="1" t="s">
        <v>236</v>
      </c>
      <c r="H1126" s="1" t="s">
        <v>234</v>
      </c>
      <c r="I1126" s="1">
        <v>5</v>
      </c>
      <c r="J1126" s="1">
        <v>32664</v>
      </c>
      <c r="K1126" s="1">
        <v>163320</v>
      </c>
      <c r="L1126" s="1" t="s">
        <v>222</v>
      </c>
      <c r="M1126" s="1">
        <v>0</v>
      </c>
      <c r="N1126" s="1">
        <v>20294.099999999999</v>
      </c>
    </row>
    <row r="1127" spans="1:14" x14ac:dyDescent="0.25">
      <c r="A1127" s="1">
        <v>2126</v>
      </c>
      <c r="B1127" s="1" t="s">
        <v>562</v>
      </c>
      <c r="C1127" s="1" t="s">
        <v>229</v>
      </c>
      <c r="D1127" s="1" t="s">
        <v>224</v>
      </c>
      <c r="E1127" s="1" t="s">
        <v>233</v>
      </c>
      <c r="F1127" s="1" t="s">
        <v>215</v>
      </c>
      <c r="G1127" s="1" t="s">
        <v>244</v>
      </c>
      <c r="H1127" s="1" t="s">
        <v>217</v>
      </c>
      <c r="I1127" s="1">
        <v>1</v>
      </c>
      <c r="J1127" s="1">
        <v>11658</v>
      </c>
      <c r="K1127" s="1">
        <v>11658</v>
      </c>
      <c r="L1127" s="1" t="s">
        <v>222</v>
      </c>
      <c r="M1127" s="1">
        <v>0</v>
      </c>
      <c r="N1127" s="1">
        <v>2941.89</v>
      </c>
    </row>
    <row r="1128" spans="1:14" x14ac:dyDescent="0.25">
      <c r="A1128" s="1">
        <v>2127</v>
      </c>
      <c r="B1128" s="1" t="s">
        <v>562</v>
      </c>
      <c r="C1128" s="1" t="s">
        <v>229</v>
      </c>
      <c r="D1128" s="1" t="s">
        <v>220</v>
      </c>
      <c r="E1128" s="1" t="s">
        <v>85</v>
      </c>
      <c r="F1128" s="1" t="s">
        <v>215</v>
      </c>
      <c r="G1128" s="1" t="s">
        <v>246</v>
      </c>
      <c r="H1128" s="1" t="s">
        <v>128</v>
      </c>
      <c r="I1128" s="1">
        <v>1</v>
      </c>
      <c r="J1128" s="1">
        <v>30436</v>
      </c>
      <c r="K1128" s="1">
        <v>27392.400000000001</v>
      </c>
      <c r="L1128" s="1" t="s">
        <v>227</v>
      </c>
      <c r="M1128" s="1">
        <v>10</v>
      </c>
      <c r="N1128" s="1">
        <v>5119.05</v>
      </c>
    </row>
    <row r="1129" spans="1:14" x14ac:dyDescent="0.25">
      <c r="A1129" s="1">
        <v>2128</v>
      </c>
      <c r="B1129" s="1" t="s">
        <v>563</v>
      </c>
      <c r="C1129" s="1" t="s">
        <v>229</v>
      </c>
      <c r="D1129" s="1" t="s">
        <v>224</v>
      </c>
      <c r="E1129" s="1" t="s">
        <v>233</v>
      </c>
      <c r="F1129" s="1" t="s">
        <v>215</v>
      </c>
      <c r="G1129" s="1" t="s">
        <v>246</v>
      </c>
      <c r="H1129" s="1" t="s">
        <v>217</v>
      </c>
      <c r="I1129" s="1">
        <v>1</v>
      </c>
      <c r="J1129" s="1">
        <v>28348</v>
      </c>
      <c r="K1129" s="1">
        <v>25513.200000000001</v>
      </c>
      <c r="L1129" s="1" t="s">
        <v>227</v>
      </c>
      <c r="M1129" s="1">
        <v>10</v>
      </c>
      <c r="N1129" s="1">
        <v>2682.77</v>
      </c>
    </row>
    <row r="1130" spans="1:14" x14ac:dyDescent="0.25">
      <c r="A1130" s="1">
        <v>2129</v>
      </c>
      <c r="B1130" s="1" t="s">
        <v>563</v>
      </c>
      <c r="C1130" s="1" t="s">
        <v>239</v>
      </c>
      <c r="D1130" s="1" t="s">
        <v>245</v>
      </c>
      <c r="E1130" s="1" t="s">
        <v>124</v>
      </c>
      <c r="F1130" s="1" t="s">
        <v>230</v>
      </c>
      <c r="G1130" s="1" t="s">
        <v>242</v>
      </c>
      <c r="H1130" s="1" t="s">
        <v>128</v>
      </c>
      <c r="I1130" s="1">
        <v>4</v>
      </c>
      <c r="J1130" s="1">
        <v>3911</v>
      </c>
      <c r="K1130" s="1">
        <v>13297.4</v>
      </c>
      <c r="L1130" s="1" t="s">
        <v>240</v>
      </c>
      <c r="M1130" s="1">
        <v>15</v>
      </c>
      <c r="N1130" s="1">
        <v>3343.75</v>
      </c>
    </row>
    <row r="1131" spans="1:14" x14ac:dyDescent="0.25">
      <c r="A1131" s="1">
        <v>2130</v>
      </c>
      <c r="B1131" s="1" t="s">
        <v>563</v>
      </c>
      <c r="C1131" s="1" t="s">
        <v>229</v>
      </c>
      <c r="D1131" s="1" t="s">
        <v>220</v>
      </c>
      <c r="E1131" s="1" t="s">
        <v>85</v>
      </c>
      <c r="F1131" s="1" t="s">
        <v>225</v>
      </c>
      <c r="G1131" s="1" t="s">
        <v>226</v>
      </c>
      <c r="H1131" s="1" t="s">
        <v>221</v>
      </c>
      <c r="I1131" s="1">
        <v>4</v>
      </c>
      <c r="J1131" s="1">
        <v>14889</v>
      </c>
      <c r="K1131" s="1">
        <v>50622.6</v>
      </c>
      <c r="L1131" s="1" t="s">
        <v>240</v>
      </c>
      <c r="M1131" s="1">
        <v>15</v>
      </c>
      <c r="N1131" s="1">
        <v>8754.0499999999993</v>
      </c>
    </row>
    <row r="1132" spans="1:14" x14ac:dyDescent="0.25">
      <c r="A1132" s="1">
        <v>2131</v>
      </c>
      <c r="B1132" s="1" t="s">
        <v>563</v>
      </c>
      <c r="C1132" s="1" t="s">
        <v>239</v>
      </c>
      <c r="D1132" s="1" t="s">
        <v>245</v>
      </c>
      <c r="E1132" s="1" t="s">
        <v>124</v>
      </c>
      <c r="F1132" s="1" t="s">
        <v>230</v>
      </c>
      <c r="G1132" s="1" t="s">
        <v>242</v>
      </c>
      <c r="H1132" s="1" t="s">
        <v>221</v>
      </c>
      <c r="I1132" s="1">
        <v>3</v>
      </c>
      <c r="J1132" s="1">
        <v>15206</v>
      </c>
      <c r="K1132" s="1">
        <v>41056.199999999997</v>
      </c>
      <c r="L1132" s="1" t="s">
        <v>222</v>
      </c>
      <c r="M1132" s="1">
        <v>10</v>
      </c>
      <c r="N1132" s="1">
        <v>10644.42</v>
      </c>
    </row>
    <row r="1133" spans="1:14" x14ac:dyDescent="0.25">
      <c r="A1133" s="1">
        <v>2132</v>
      </c>
      <c r="B1133" s="1" t="s">
        <v>564</v>
      </c>
      <c r="C1133" s="1" t="s">
        <v>219</v>
      </c>
      <c r="D1133" s="1" t="s">
        <v>245</v>
      </c>
      <c r="E1133" s="1" t="s">
        <v>124</v>
      </c>
      <c r="F1133" s="1" t="s">
        <v>215</v>
      </c>
      <c r="G1133" s="1" t="s">
        <v>246</v>
      </c>
      <c r="H1133" s="1" t="s">
        <v>221</v>
      </c>
      <c r="I1133" s="1">
        <v>2</v>
      </c>
      <c r="J1133" s="1">
        <v>32939</v>
      </c>
      <c r="K1133" s="1">
        <v>62584.1</v>
      </c>
      <c r="L1133" s="1" t="s">
        <v>222</v>
      </c>
      <c r="M1133" s="1">
        <v>5</v>
      </c>
      <c r="N1133" s="1">
        <v>13121.78</v>
      </c>
    </row>
    <row r="1134" spans="1:14" x14ac:dyDescent="0.25">
      <c r="A1134" s="1">
        <v>2133</v>
      </c>
      <c r="B1134" s="1" t="s">
        <v>564</v>
      </c>
      <c r="C1134" s="1" t="s">
        <v>223</v>
      </c>
      <c r="D1134" s="1" t="s">
        <v>245</v>
      </c>
      <c r="E1134" s="1" t="s">
        <v>124</v>
      </c>
      <c r="F1134" s="1" t="s">
        <v>215</v>
      </c>
      <c r="G1134" s="1" t="s">
        <v>244</v>
      </c>
      <c r="H1134" s="1" t="s">
        <v>234</v>
      </c>
      <c r="I1134" s="1">
        <v>2</v>
      </c>
      <c r="J1134" s="1">
        <v>21716</v>
      </c>
      <c r="K1134" s="1">
        <v>39088.800000000003</v>
      </c>
      <c r="L1134" s="1" t="s">
        <v>227</v>
      </c>
      <c r="M1134" s="1">
        <v>10</v>
      </c>
      <c r="N1134" s="1">
        <v>10727.01</v>
      </c>
    </row>
    <row r="1135" spans="1:14" x14ac:dyDescent="0.25">
      <c r="A1135" s="1">
        <v>2134</v>
      </c>
      <c r="B1135" s="1" t="s">
        <v>564</v>
      </c>
      <c r="C1135" s="1" t="s">
        <v>219</v>
      </c>
      <c r="D1135" s="1" t="s">
        <v>214</v>
      </c>
      <c r="E1135" s="1" t="s">
        <v>124</v>
      </c>
      <c r="F1135" s="1" t="s">
        <v>230</v>
      </c>
      <c r="G1135" s="1" t="s">
        <v>231</v>
      </c>
      <c r="H1135" s="1" t="s">
        <v>128</v>
      </c>
      <c r="I1135" s="1">
        <v>5</v>
      </c>
      <c r="J1135" s="1">
        <v>46460</v>
      </c>
      <c r="K1135" s="1">
        <v>232300</v>
      </c>
      <c r="L1135" s="1" t="s">
        <v>227</v>
      </c>
      <c r="M1135" s="1">
        <v>0</v>
      </c>
      <c r="N1135" s="1">
        <v>55357.94</v>
      </c>
    </row>
    <row r="1136" spans="1:14" x14ac:dyDescent="0.25">
      <c r="A1136" s="1">
        <v>2135</v>
      </c>
      <c r="B1136" s="1" t="s">
        <v>564</v>
      </c>
      <c r="C1136" s="1" t="s">
        <v>223</v>
      </c>
      <c r="D1136" s="1" t="s">
        <v>245</v>
      </c>
      <c r="E1136" s="1" t="s">
        <v>124</v>
      </c>
      <c r="F1136" s="1" t="s">
        <v>230</v>
      </c>
      <c r="G1136" s="1" t="s">
        <v>231</v>
      </c>
      <c r="H1136" s="1" t="s">
        <v>217</v>
      </c>
      <c r="I1136" s="1">
        <v>3</v>
      </c>
      <c r="J1136" s="1">
        <v>42219</v>
      </c>
      <c r="K1136" s="1">
        <v>120324.15</v>
      </c>
      <c r="L1136" s="1" t="s">
        <v>240</v>
      </c>
      <c r="M1136" s="1">
        <v>5</v>
      </c>
      <c r="N1136" s="1">
        <v>32625.13</v>
      </c>
    </row>
    <row r="1137" spans="1:14" x14ac:dyDescent="0.25">
      <c r="A1137" s="1">
        <v>2136</v>
      </c>
      <c r="B1137" s="1" t="s">
        <v>564</v>
      </c>
      <c r="C1137" s="1" t="s">
        <v>239</v>
      </c>
      <c r="D1137" s="1" t="s">
        <v>214</v>
      </c>
      <c r="E1137" s="1" t="s">
        <v>124</v>
      </c>
      <c r="F1137" s="1" t="s">
        <v>230</v>
      </c>
      <c r="G1137" s="1" t="s">
        <v>241</v>
      </c>
      <c r="H1137" s="1" t="s">
        <v>217</v>
      </c>
      <c r="I1137" s="1">
        <v>3</v>
      </c>
      <c r="J1137" s="1">
        <v>49278</v>
      </c>
      <c r="K1137" s="1">
        <v>147834</v>
      </c>
      <c r="L1137" s="1" t="s">
        <v>240</v>
      </c>
      <c r="M1137" s="1">
        <v>0</v>
      </c>
      <c r="N1137" s="1">
        <v>15852.47</v>
      </c>
    </row>
    <row r="1138" spans="1:14" x14ac:dyDescent="0.25">
      <c r="A1138" s="1">
        <v>2137</v>
      </c>
      <c r="B1138" s="1" t="s">
        <v>565</v>
      </c>
      <c r="C1138" s="1" t="s">
        <v>239</v>
      </c>
      <c r="D1138" s="1" t="s">
        <v>224</v>
      </c>
      <c r="E1138" s="1" t="s">
        <v>233</v>
      </c>
      <c r="F1138" s="1" t="s">
        <v>215</v>
      </c>
      <c r="G1138" s="1" t="s">
        <v>246</v>
      </c>
      <c r="H1138" s="1" t="s">
        <v>128</v>
      </c>
      <c r="I1138" s="1">
        <v>4</v>
      </c>
      <c r="J1138" s="1">
        <v>34154</v>
      </c>
      <c r="K1138" s="1">
        <v>129785.2</v>
      </c>
      <c r="L1138" s="1" t="s">
        <v>222</v>
      </c>
      <c r="M1138" s="1">
        <v>5</v>
      </c>
      <c r="N1138" s="1">
        <v>33426.42</v>
      </c>
    </row>
    <row r="1139" spans="1:14" x14ac:dyDescent="0.25">
      <c r="A1139" s="1">
        <v>2138</v>
      </c>
      <c r="B1139" s="1" t="s">
        <v>565</v>
      </c>
      <c r="C1139" s="1" t="s">
        <v>229</v>
      </c>
      <c r="D1139" s="1" t="s">
        <v>232</v>
      </c>
      <c r="E1139" s="1" t="s">
        <v>233</v>
      </c>
      <c r="F1139" s="1" t="s">
        <v>225</v>
      </c>
      <c r="G1139" s="1" t="s">
        <v>226</v>
      </c>
      <c r="H1139" s="1" t="s">
        <v>234</v>
      </c>
      <c r="I1139" s="1">
        <v>5</v>
      </c>
      <c r="J1139" s="1">
        <v>33743</v>
      </c>
      <c r="K1139" s="1">
        <v>151843.5</v>
      </c>
      <c r="L1139" s="1" t="s">
        <v>227</v>
      </c>
      <c r="M1139" s="1">
        <v>10</v>
      </c>
      <c r="N1139" s="1">
        <v>35714.75</v>
      </c>
    </row>
    <row r="1140" spans="1:14" x14ac:dyDescent="0.25">
      <c r="A1140" s="1">
        <v>2139</v>
      </c>
      <c r="B1140" s="1" t="s">
        <v>565</v>
      </c>
      <c r="C1140" s="1" t="s">
        <v>229</v>
      </c>
      <c r="D1140" s="1" t="s">
        <v>232</v>
      </c>
      <c r="E1140" s="1" t="s">
        <v>233</v>
      </c>
      <c r="F1140" s="1" t="s">
        <v>225</v>
      </c>
      <c r="G1140" s="1" t="s">
        <v>248</v>
      </c>
      <c r="H1140" s="1" t="s">
        <v>128</v>
      </c>
      <c r="I1140" s="1">
        <v>2</v>
      </c>
      <c r="J1140" s="1">
        <v>45964</v>
      </c>
      <c r="K1140" s="1">
        <v>87331.6</v>
      </c>
      <c r="L1140" s="1" t="s">
        <v>222</v>
      </c>
      <c r="M1140" s="1">
        <v>5</v>
      </c>
      <c r="N1140" s="1">
        <v>22424.35</v>
      </c>
    </row>
    <row r="1141" spans="1:14" x14ac:dyDescent="0.25">
      <c r="A1141" s="1">
        <v>2140</v>
      </c>
      <c r="B1141" s="1" t="s">
        <v>565</v>
      </c>
      <c r="C1141" s="1" t="s">
        <v>213</v>
      </c>
      <c r="D1141" s="1" t="s">
        <v>224</v>
      </c>
      <c r="E1141" s="1" t="s">
        <v>233</v>
      </c>
      <c r="F1141" s="1" t="s">
        <v>230</v>
      </c>
      <c r="G1141" s="1" t="s">
        <v>241</v>
      </c>
      <c r="H1141" s="1" t="s">
        <v>234</v>
      </c>
      <c r="I1141" s="1">
        <v>1</v>
      </c>
      <c r="J1141" s="1">
        <v>9154</v>
      </c>
      <c r="K1141" s="1">
        <v>8238.6</v>
      </c>
      <c r="L1141" s="1" t="s">
        <v>222</v>
      </c>
      <c r="M1141" s="1">
        <v>10</v>
      </c>
      <c r="N1141" s="1">
        <v>1129.03</v>
      </c>
    </row>
    <row r="1142" spans="1:14" x14ac:dyDescent="0.25">
      <c r="A1142" s="1">
        <v>2141</v>
      </c>
      <c r="B1142" s="1" t="s">
        <v>566</v>
      </c>
      <c r="C1142" s="1" t="s">
        <v>219</v>
      </c>
      <c r="D1142" s="1" t="s">
        <v>224</v>
      </c>
      <c r="E1142" s="1" t="s">
        <v>233</v>
      </c>
      <c r="F1142" s="1" t="s">
        <v>225</v>
      </c>
      <c r="G1142" s="1" t="s">
        <v>248</v>
      </c>
      <c r="H1142" s="1" t="s">
        <v>217</v>
      </c>
      <c r="I1142" s="1">
        <v>2</v>
      </c>
      <c r="J1142" s="1">
        <v>11019</v>
      </c>
      <c r="K1142" s="1">
        <v>18732.3</v>
      </c>
      <c r="L1142" s="1" t="s">
        <v>227</v>
      </c>
      <c r="M1142" s="1">
        <v>15</v>
      </c>
      <c r="N1142" s="1">
        <v>4243.96</v>
      </c>
    </row>
    <row r="1143" spans="1:14" x14ac:dyDescent="0.25">
      <c r="A1143" s="1">
        <v>2142</v>
      </c>
      <c r="B1143" s="1" t="s">
        <v>566</v>
      </c>
      <c r="C1143" s="1" t="s">
        <v>229</v>
      </c>
      <c r="D1143" s="1" t="s">
        <v>245</v>
      </c>
      <c r="E1143" s="1" t="s">
        <v>124</v>
      </c>
      <c r="F1143" s="1" t="s">
        <v>225</v>
      </c>
      <c r="G1143" s="1" t="s">
        <v>226</v>
      </c>
      <c r="H1143" s="1" t="s">
        <v>234</v>
      </c>
      <c r="I1143" s="1">
        <v>1</v>
      </c>
      <c r="J1143" s="1">
        <v>46764</v>
      </c>
      <c r="K1143" s="1">
        <v>44425.8</v>
      </c>
      <c r="L1143" s="1" t="s">
        <v>227</v>
      </c>
      <c r="M1143" s="1">
        <v>5</v>
      </c>
      <c r="N1143" s="1">
        <v>7277.31</v>
      </c>
    </row>
    <row r="1144" spans="1:14" x14ac:dyDescent="0.25">
      <c r="A1144" s="1">
        <v>2143</v>
      </c>
      <c r="B1144" s="1" t="s">
        <v>566</v>
      </c>
      <c r="C1144" s="1" t="s">
        <v>219</v>
      </c>
      <c r="D1144" s="1" t="s">
        <v>214</v>
      </c>
      <c r="E1144" s="1" t="s">
        <v>124</v>
      </c>
      <c r="F1144" s="1" t="s">
        <v>230</v>
      </c>
      <c r="G1144" s="1" t="s">
        <v>231</v>
      </c>
      <c r="H1144" s="1" t="s">
        <v>128</v>
      </c>
      <c r="I1144" s="1">
        <v>4</v>
      </c>
      <c r="J1144" s="1">
        <v>46713</v>
      </c>
      <c r="K1144" s="1">
        <v>177509.4</v>
      </c>
      <c r="L1144" s="1" t="s">
        <v>227</v>
      </c>
      <c r="M1144" s="1">
        <v>5</v>
      </c>
      <c r="N1144" s="1">
        <v>50172.32</v>
      </c>
    </row>
    <row r="1145" spans="1:14" x14ac:dyDescent="0.25">
      <c r="A1145" s="1">
        <v>2144</v>
      </c>
      <c r="B1145" s="1" t="s">
        <v>566</v>
      </c>
      <c r="C1145" s="1" t="s">
        <v>213</v>
      </c>
      <c r="D1145" s="1" t="s">
        <v>220</v>
      </c>
      <c r="E1145" s="1" t="s">
        <v>85</v>
      </c>
      <c r="F1145" s="1" t="s">
        <v>230</v>
      </c>
      <c r="G1145" s="1" t="s">
        <v>241</v>
      </c>
      <c r="H1145" s="1" t="s">
        <v>128</v>
      </c>
      <c r="I1145" s="1">
        <v>2</v>
      </c>
      <c r="J1145" s="1">
        <v>12461</v>
      </c>
      <c r="K1145" s="1">
        <v>23675.9</v>
      </c>
      <c r="L1145" s="1" t="s">
        <v>218</v>
      </c>
      <c r="M1145" s="1">
        <v>5</v>
      </c>
      <c r="N1145" s="1">
        <v>4484.25</v>
      </c>
    </row>
    <row r="1146" spans="1:14" x14ac:dyDescent="0.25">
      <c r="A1146" s="1">
        <v>2145</v>
      </c>
      <c r="B1146" s="1" t="s">
        <v>567</v>
      </c>
      <c r="C1146" s="1" t="s">
        <v>229</v>
      </c>
      <c r="D1146" s="1" t="s">
        <v>220</v>
      </c>
      <c r="E1146" s="1" t="s">
        <v>85</v>
      </c>
      <c r="F1146" s="1" t="s">
        <v>215</v>
      </c>
      <c r="G1146" s="1" t="s">
        <v>216</v>
      </c>
      <c r="H1146" s="1" t="s">
        <v>234</v>
      </c>
      <c r="I1146" s="1">
        <v>1</v>
      </c>
      <c r="J1146" s="1">
        <v>24498</v>
      </c>
      <c r="K1146" s="1">
        <v>20823.3</v>
      </c>
      <c r="L1146" s="1" t="s">
        <v>240</v>
      </c>
      <c r="M1146" s="1">
        <v>15</v>
      </c>
      <c r="N1146" s="1">
        <v>4733.38</v>
      </c>
    </row>
    <row r="1147" spans="1:14" x14ac:dyDescent="0.25">
      <c r="A1147" s="1">
        <v>2146</v>
      </c>
      <c r="B1147" s="1" t="s">
        <v>567</v>
      </c>
      <c r="C1147" s="1" t="s">
        <v>229</v>
      </c>
      <c r="D1147" s="1" t="s">
        <v>214</v>
      </c>
      <c r="E1147" s="1" t="s">
        <v>124</v>
      </c>
      <c r="F1147" s="1" t="s">
        <v>230</v>
      </c>
      <c r="G1147" s="1" t="s">
        <v>231</v>
      </c>
      <c r="H1147" s="1" t="s">
        <v>234</v>
      </c>
      <c r="I1147" s="1">
        <v>3</v>
      </c>
      <c r="J1147" s="1">
        <v>30149</v>
      </c>
      <c r="K1147" s="1">
        <v>81402.3</v>
      </c>
      <c r="L1147" s="1" t="s">
        <v>218</v>
      </c>
      <c r="M1147" s="1">
        <v>10</v>
      </c>
      <c r="N1147" s="1">
        <v>10306.200000000001</v>
      </c>
    </row>
    <row r="1148" spans="1:14" x14ac:dyDescent="0.25">
      <c r="A1148" s="1">
        <v>2147</v>
      </c>
      <c r="B1148" s="1" t="s">
        <v>567</v>
      </c>
      <c r="C1148" s="1" t="s">
        <v>239</v>
      </c>
      <c r="D1148" s="1" t="s">
        <v>232</v>
      </c>
      <c r="E1148" s="1" t="s">
        <v>233</v>
      </c>
      <c r="F1148" s="1" t="s">
        <v>215</v>
      </c>
      <c r="G1148" s="1" t="s">
        <v>244</v>
      </c>
      <c r="H1148" s="1" t="s">
        <v>217</v>
      </c>
      <c r="I1148" s="1">
        <v>2</v>
      </c>
      <c r="J1148" s="1">
        <v>23013</v>
      </c>
      <c r="K1148" s="1">
        <v>39122.1</v>
      </c>
      <c r="L1148" s="1" t="s">
        <v>222</v>
      </c>
      <c r="M1148" s="1">
        <v>15</v>
      </c>
      <c r="N1148" s="1">
        <v>6921.99</v>
      </c>
    </row>
    <row r="1149" spans="1:14" x14ac:dyDescent="0.25">
      <c r="A1149" s="1">
        <v>2148</v>
      </c>
      <c r="B1149" s="1" t="s">
        <v>567</v>
      </c>
      <c r="C1149" s="1" t="s">
        <v>213</v>
      </c>
      <c r="D1149" s="1" t="s">
        <v>214</v>
      </c>
      <c r="E1149" s="1" t="s">
        <v>124</v>
      </c>
      <c r="F1149" s="1" t="s">
        <v>215</v>
      </c>
      <c r="G1149" s="1" t="s">
        <v>216</v>
      </c>
      <c r="H1149" s="1" t="s">
        <v>217</v>
      </c>
      <c r="I1149" s="1">
        <v>5</v>
      </c>
      <c r="J1149" s="1">
        <v>47524</v>
      </c>
      <c r="K1149" s="1">
        <v>201977</v>
      </c>
      <c r="L1149" s="1" t="s">
        <v>218</v>
      </c>
      <c r="M1149" s="1">
        <v>15</v>
      </c>
      <c r="N1149" s="1">
        <v>48128.08</v>
      </c>
    </row>
    <row r="1150" spans="1:14" x14ac:dyDescent="0.25">
      <c r="A1150" s="1">
        <v>2149</v>
      </c>
      <c r="B1150" s="1" t="s">
        <v>567</v>
      </c>
      <c r="C1150" s="1" t="s">
        <v>223</v>
      </c>
      <c r="D1150" s="1" t="s">
        <v>220</v>
      </c>
      <c r="E1150" s="1" t="s">
        <v>85</v>
      </c>
      <c r="F1150" s="1" t="s">
        <v>225</v>
      </c>
      <c r="G1150" s="1" t="s">
        <v>236</v>
      </c>
      <c r="H1150" s="1" t="s">
        <v>234</v>
      </c>
      <c r="I1150" s="1">
        <v>5</v>
      </c>
      <c r="J1150" s="1">
        <v>3423</v>
      </c>
      <c r="K1150" s="1">
        <v>17115</v>
      </c>
      <c r="L1150" s="1" t="s">
        <v>227</v>
      </c>
      <c r="M1150" s="1">
        <v>0</v>
      </c>
      <c r="N1150" s="1">
        <v>2082.36</v>
      </c>
    </row>
    <row r="1151" spans="1:14" x14ac:dyDescent="0.25">
      <c r="A1151" s="1">
        <v>2150</v>
      </c>
      <c r="B1151" s="1" t="s">
        <v>568</v>
      </c>
      <c r="C1151" s="1" t="s">
        <v>213</v>
      </c>
      <c r="D1151" s="1" t="s">
        <v>245</v>
      </c>
      <c r="E1151" s="1" t="s">
        <v>124</v>
      </c>
      <c r="F1151" s="1" t="s">
        <v>225</v>
      </c>
      <c r="G1151" s="1" t="s">
        <v>226</v>
      </c>
      <c r="H1151" s="1" t="s">
        <v>221</v>
      </c>
      <c r="I1151" s="1">
        <v>5</v>
      </c>
      <c r="J1151" s="1">
        <v>25865</v>
      </c>
      <c r="K1151" s="1">
        <v>129325</v>
      </c>
      <c r="L1151" s="1" t="s">
        <v>222</v>
      </c>
      <c r="M1151" s="1">
        <v>0</v>
      </c>
      <c r="N1151" s="1">
        <v>18856.45</v>
      </c>
    </row>
    <row r="1152" spans="1:14" x14ac:dyDescent="0.25">
      <c r="A1152" s="1">
        <v>2151</v>
      </c>
      <c r="B1152" s="1" t="s">
        <v>568</v>
      </c>
      <c r="C1152" s="1" t="s">
        <v>223</v>
      </c>
      <c r="D1152" s="1" t="s">
        <v>224</v>
      </c>
      <c r="E1152" s="1" t="s">
        <v>233</v>
      </c>
      <c r="F1152" s="1" t="s">
        <v>215</v>
      </c>
      <c r="G1152" s="1" t="s">
        <v>216</v>
      </c>
      <c r="H1152" s="1" t="s">
        <v>217</v>
      </c>
      <c r="I1152" s="1">
        <v>1</v>
      </c>
      <c r="J1152" s="1">
        <v>40994</v>
      </c>
      <c r="K1152" s="1">
        <v>36894.6</v>
      </c>
      <c r="L1152" s="1" t="s">
        <v>218</v>
      </c>
      <c r="M1152" s="1">
        <v>10</v>
      </c>
      <c r="N1152" s="1">
        <v>5440.75</v>
      </c>
    </row>
    <row r="1153" spans="1:14" x14ac:dyDescent="0.25">
      <c r="A1153" s="1">
        <v>2152</v>
      </c>
      <c r="B1153" s="1" t="s">
        <v>569</v>
      </c>
      <c r="C1153" s="1" t="s">
        <v>213</v>
      </c>
      <c r="D1153" s="1" t="s">
        <v>224</v>
      </c>
      <c r="E1153" s="1" t="s">
        <v>233</v>
      </c>
      <c r="F1153" s="1" t="s">
        <v>230</v>
      </c>
      <c r="G1153" s="1" t="s">
        <v>231</v>
      </c>
      <c r="H1153" s="1" t="s">
        <v>234</v>
      </c>
      <c r="I1153" s="1">
        <v>3</v>
      </c>
      <c r="J1153" s="1">
        <v>14821</v>
      </c>
      <c r="K1153" s="1">
        <v>44463</v>
      </c>
      <c r="L1153" s="1" t="s">
        <v>218</v>
      </c>
      <c r="M1153" s="1">
        <v>0</v>
      </c>
      <c r="N1153" s="1">
        <v>6699.31</v>
      </c>
    </row>
    <row r="1154" spans="1:14" x14ac:dyDescent="0.25">
      <c r="A1154" s="1">
        <v>2153</v>
      </c>
      <c r="B1154" s="1" t="s">
        <v>569</v>
      </c>
      <c r="C1154" s="1" t="s">
        <v>223</v>
      </c>
      <c r="D1154" s="1" t="s">
        <v>232</v>
      </c>
      <c r="E1154" s="1" t="s">
        <v>233</v>
      </c>
      <c r="F1154" s="1" t="s">
        <v>230</v>
      </c>
      <c r="G1154" s="1" t="s">
        <v>231</v>
      </c>
      <c r="H1154" s="1" t="s">
        <v>234</v>
      </c>
      <c r="I1154" s="1">
        <v>1</v>
      </c>
      <c r="J1154" s="1">
        <v>27246</v>
      </c>
      <c r="K1154" s="1">
        <v>23159.1</v>
      </c>
      <c r="L1154" s="1" t="s">
        <v>222</v>
      </c>
      <c r="M1154" s="1">
        <v>15</v>
      </c>
      <c r="N1154" s="1">
        <v>6447.07</v>
      </c>
    </row>
    <row r="1155" spans="1:14" x14ac:dyDescent="0.25">
      <c r="A1155" s="1">
        <v>2154</v>
      </c>
      <c r="B1155" s="1" t="s">
        <v>569</v>
      </c>
      <c r="C1155" s="1" t="s">
        <v>239</v>
      </c>
      <c r="D1155" s="1" t="s">
        <v>245</v>
      </c>
      <c r="E1155" s="1" t="s">
        <v>124</v>
      </c>
      <c r="F1155" s="1" t="s">
        <v>215</v>
      </c>
      <c r="G1155" s="1" t="s">
        <v>246</v>
      </c>
      <c r="H1155" s="1" t="s">
        <v>217</v>
      </c>
      <c r="I1155" s="1">
        <v>4</v>
      </c>
      <c r="J1155" s="1">
        <v>9163</v>
      </c>
      <c r="K1155" s="1">
        <v>34819.4</v>
      </c>
      <c r="L1155" s="1" t="s">
        <v>222</v>
      </c>
      <c r="M1155" s="1">
        <v>5</v>
      </c>
      <c r="N1155" s="1">
        <v>5293.01</v>
      </c>
    </row>
    <row r="1156" spans="1:14" x14ac:dyDescent="0.25">
      <c r="A1156" s="1">
        <v>2155</v>
      </c>
      <c r="B1156" s="1" t="s">
        <v>569</v>
      </c>
      <c r="C1156" s="1" t="s">
        <v>229</v>
      </c>
      <c r="D1156" s="1" t="s">
        <v>245</v>
      </c>
      <c r="E1156" s="1" t="s">
        <v>124</v>
      </c>
      <c r="F1156" s="1" t="s">
        <v>230</v>
      </c>
      <c r="G1156" s="1" t="s">
        <v>231</v>
      </c>
      <c r="H1156" s="1" t="s">
        <v>128</v>
      </c>
      <c r="I1156" s="1">
        <v>5</v>
      </c>
      <c r="J1156" s="1">
        <v>20536</v>
      </c>
      <c r="K1156" s="1">
        <v>102680</v>
      </c>
      <c r="L1156" s="1" t="s">
        <v>240</v>
      </c>
      <c r="M1156" s="1">
        <v>0</v>
      </c>
      <c r="N1156" s="1">
        <v>11315.42</v>
      </c>
    </row>
    <row r="1157" spans="1:14" x14ac:dyDescent="0.25">
      <c r="A1157" s="1">
        <v>2156</v>
      </c>
      <c r="B1157" s="1" t="s">
        <v>570</v>
      </c>
      <c r="C1157" s="1" t="s">
        <v>229</v>
      </c>
      <c r="D1157" s="1" t="s">
        <v>224</v>
      </c>
      <c r="E1157" s="1" t="s">
        <v>233</v>
      </c>
      <c r="F1157" s="1" t="s">
        <v>215</v>
      </c>
      <c r="G1157" s="1" t="s">
        <v>246</v>
      </c>
      <c r="H1157" s="1" t="s">
        <v>234</v>
      </c>
      <c r="I1157" s="1">
        <v>3</v>
      </c>
      <c r="J1157" s="1">
        <v>16195</v>
      </c>
      <c r="K1157" s="1">
        <v>48585</v>
      </c>
      <c r="L1157" s="1" t="s">
        <v>218</v>
      </c>
      <c r="M1157" s="1">
        <v>0</v>
      </c>
      <c r="N1157" s="1">
        <v>12862.03</v>
      </c>
    </row>
    <row r="1158" spans="1:14" x14ac:dyDescent="0.25">
      <c r="A1158" s="1">
        <v>2157</v>
      </c>
      <c r="B1158" s="1" t="s">
        <v>570</v>
      </c>
      <c r="C1158" s="1" t="s">
        <v>239</v>
      </c>
      <c r="D1158" s="1" t="s">
        <v>220</v>
      </c>
      <c r="E1158" s="1" t="s">
        <v>85</v>
      </c>
      <c r="F1158" s="1" t="s">
        <v>215</v>
      </c>
      <c r="G1158" s="1" t="s">
        <v>246</v>
      </c>
      <c r="H1158" s="1" t="s">
        <v>128</v>
      </c>
      <c r="I1158" s="1">
        <v>2</v>
      </c>
      <c r="J1158" s="1">
        <v>16498</v>
      </c>
      <c r="K1158" s="1">
        <v>28046.6</v>
      </c>
      <c r="L1158" s="1" t="s">
        <v>222</v>
      </c>
      <c r="M1158" s="1">
        <v>15</v>
      </c>
      <c r="N1158" s="1">
        <v>8303.25</v>
      </c>
    </row>
    <row r="1159" spans="1:14" x14ac:dyDescent="0.25">
      <c r="A1159" s="1">
        <v>2158</v>
      </c>
      <c r="B1159" s="1" t="s">
        <v>570</v>
      </c>
      <c r="C1159" s="1" t="s">
        <v>239</v>
      </c>
      <c r="D1159" s="1" t="s">
        <v>245</v>
      </c>
      <c r="E1159" s="1" t="s">
        <v>124</v>
      </c>
      <c r="F1159" s="1" t="s">
        <v>230</v>
      </c>
      <c r="G1159" s="1" t="s">
        <v>242</v>
      </c>
      <c r="H1159" s="1" t="s">
        <v>234</v>
      </c>
      <c r="I1159" s="1">
        <v>3</v>
      </c>
      <c r="J1159" s="1">
        <v>14095</v>
      </c>
      <c r="K1159" s="1">
        <v>38056.5</v>
      </c>
      <c r="L1159" s="1" t="s">
        <v>222</v>
      </c>
      <c r="M1159" s="1">
        <v>10</v>
      </c>
      <c r="N1159" s="1">
        <v>4912.0600000000004</v>
      </c>
    </row>
    <row r="1160" spans="1:14" x14ac:dyDescent="0.25">
      <c r="A1160" s="1">
        <v>2159</v>
      </c>
      <c r="B1160" s="1" t="s">
        <v>571</v>
      </c>
      <c r="C1160" s="1" t="s">
        <v>229</v>
      </c>
      <c r="D1160" s="1" t="s">
        <v>245</v>
      </c>
      <c r="E1160" s="1" t="s">
        <v>124</v>
      </c>
      <c r="F1160" s="1" t="s">
        <v>225</v>
      </c>
      <c r="G1160" s="1" t="s">
        <v>248</v>
      </c>
      <c r="H1160" s="1" t="s">
        <v>217</v>
      </c>
      <c r="I1160" s="1">
        <v>3</v>
      </c>
      <c r="J1160" s="1">
        <v>46074</v>
      </c>
      <c r="K1160" s="1">
        <v>117488.7</v>
      </c>
      <c r="L1160" s="1" t="s">
        <v>222</v>
      </c>
      <c r="M1160" s="1">
        <v>15</v>
      </c>
      <c r="N1160" s="1">
        <v>21094.67</v>
      </c>
    </row>
    <row r="1161" spans="1:14" x14ac:dyDescent="0.25">
      <c r="A1161" s="1">
        <v>2160</v>
      </c>
      <c r="B1161" s="1" t="s">
        <v>571</v>
      </c>
      <c r="C1161" s="1" t="s">
        <v>223</v>
      </c>
      <c r="D1161" s="1" t="s">
        <v>232</v>
      </c>
      <c r="E1161" s="1" t="s">
        <v>233</v>
      </c>
      <c r="F1161" s="1" t="s">
        <v>230</v>
      </c>
      <c r="G1161" s="1" t="s">
        <v>242</v>
      </c>
      <c r="H1161" s="1" t="s">
        <v>217</v>
      </c>
      <c r="I1161" s="1">
        <v>1</v>
      </c>
      <c r="J1161" s="1">
        <v>3925</v>
      </c>
      <c r="K1161" s="1">
        <v>3728.75</v>
      </c>
      <c r="L1161" s="1" t="s">
        <v>222</v>
      </c>
      <c r="M1161" s="1">
        <v>5</v>
      </c>
      <c r="N1161" s="1">
        <v>556.24</v>
      </c>
    </row>
    <row r="1162" spans="1:14" x14ac:dyDescent="0.25">
      <c r="A1162" s="1">
        <v>2161</v>
      </c>
      <c r="B1162" s="1" t="s">
        <v>572</v>
      </c>
      <c r="C1162" s="1" t="s">
        <v>229</v>
      </c>
      <c r="D1162" s="1" t="s">
        <v>214</v>
      </c>
      <c r="E1162" s="1" t="s">
        <v>124</v>
      </c>
      <c r="F1162" s="1" t="s">
        <v>225</v>
      </c>
      <c r="G1162" s="1" t="s">
        <v>248</v>
      </c>
      <c r="H1162" s="1" t="s">
        <v>221</v>
      </c>
      <c r="I1162" s="1">
        <v>3</v>
      </c>
      <c r="J1162" s="1">
        <v>28433</v>
      </c>
      <c r="K1162" s="1">
        <v>76769.100000000006</v>
      </c>
      <c r="L1162" s="1" t="s">
        <v>240</v>
      </c>
      <c r="M1162" s="1">
        <v>10</v>
      </c>
      <c r="N1162" s="1">
        <v>7939.88</v>
      </c>
    </row>
    <row r="1163" spans="1:14" x14ac:dyDescent="0.25">
      <c r="A1163" s="1">
        <v>2162</v>
      </c>
      <c r="B1163" s="1" t="s">
        <v>572</v>
      </c>
      <c r="C1163" s="1" t="s">
        <v>229</v>
      </c>
      <c r="D1163" s="1" t="s">
        <v>232</v>
      </c>
      <c r="E1163" s="1" t="s">
        <v>233</v>
      </c>
      <c r="F1163" s="1" t="s">
        <v>225</v>
      </c>
      <c r="G1163" s="1" t="s">
        <v>236</v>
      </c>
      <c r="H1163" s="1" t="s">
        <v>234</v>
      </c>
      <c r="I1163" s="1">
        <v>1</v>
      </c>
      <c r="J1163" s="1">
        <v>13769</v>
      </c>
      <c r="K1163" s="1">
        <v>13769</v>
      </c>
      <c r="L1163" s="1" t="s">
        <v>240</v>
      </c>
      <c r="M1163" s="1">
        <v>0</v>
      </c>
      <c r="N1163" s="1">
        <v>2550.54</v>
      </c>
    </row>
    <row r="1164" spans="1:14" x14ac:dyDescent="0.25">
      <c r="A1164" s="1">
        <v>2163</v>
      </c>
      <c r="B1164" s="1" t="s">
        <v>572</v>
      </c>
      <c r="C1164" s="1" t="s">
        <v>229</v>
      </c>
      <c r="D1164" s="1" t="s">
        <v>220</v>
      </c>
      <c r="E1164" s="1" t="s">
        <v>85</v>
      </c>
      <c r="F1164" s="1" t="s">
        <v>230</v>
      </c>
      <c r="G1164" s="1" t="s">
        <v>231</v>
      </c>
      <c r="H1164" s="1" t="s">
        <v>221</v>
      </c>
      <c r="I1164" s="1">
        <v>1</v>
      </c>
      <c r="J1164" s="1">
        <v>19542</v>
      </c>
      <c r="K1164" s="1">
        <v>19542</v>
      </c>
      <c r="L1164" s="1" t="s">
        <v>218</v>
      </c>
      <c r="M1164" s="1">
        <v>0</v>
      </c>
      <c r="N1164" s="1">
        <v>2270.52</v>
      </c>
    </row>
    <row r="1165" spans="1:14" x14ac:dyDescent="0.25">
      <c r="A1165" s="1">
        <v>2164</v>
      </c>
      <c r="B1165" s="1" t="s">
        <v>572</v>
      </c>
      <c r="C1165" s="1" t="s">
        <v>239</v>
      </c>
      <c r="D1165" s="1" t="s">
        <v>214</v>
      </c>
      <c r="E1165" s="1" t="s">
        <v>124</v>
      </c>
      <c r="F1165" s="1" t="s">
        <v>215</v>
      </c>
      <c r="G1165" s="1" t="s">
        <v>246</v>
      </c>
      <c r="H1165" s="1" t="s">
        <v>128</v>
      </c>
      <c r="I1165" s="1">
        <v>5</v>
      </c>
      <c r="J1165" s="1">
        <v>13875</v>
      </c>
      <c r="K1165" s="1">
        <v>69375</v>
      </c>
      <c r="L1165" s="1" t="s">
        <v>227</v>
      </c>
      <c r="M1165" s="1">
        <v>0</v>
      </c>
      <c r="N1165" s="1">
        <v>20212.689999999999</v>
      </c>
    </row>
    <row r="1166" spans="1:14" x14ac:dyDescent="0.25">
      <c r="A1166" s="1">
        <v>2165</v>
      </c>
      <c r="B1166" s="1" t="s">
        <v>573</v>
      </c>
      <c r="C1166" s="1" t="s">
        <v>239</v>
      </c>
      <c r="D1166" s="1" t="s">
        <v>232</v>
      </c>
      <c r="E1166" s="1" t="s">
        <v>233</v>
      </c>
      <c r="F1166" s="1" t="s">
        <v>215</v>
      </c>
      <c r="G1166" s="1" t="s">
        <v>246</v>
      </c>
      <c r="H1166" s="1" t="s">
        <v>217</v>
      </c>
      <c r="I1166" s="1">
        <v>5</v>
      </c>
      <c r="J1166" s="1">
        <v>39916</v>
      </c>
      <c r="K1166" s="1">
        <v>199580</v>
      </c>
      <c r="L1166" s="1" t="s">
        <v>227</v>
      </c>
      <c r="M1166" s="1">
        <v>0</v>
      </c>
      <c r="N1166" s="1">
        <v>38490.120000000003</v>
      </c>
    </row>
    <row r="1167" spans="1:14" x14ac:dyDescent="0.25">
      <c r="A1167" s="1">
        <v>2166</v>
      </c>
      <c r="B1167" s="1" t="s">
        <v>573</v>
      </c>
      <c r="C1167" s="1" t="s">
        <v>239</v>
      </c>
      <c r="D1167" s="1" t="s">
        <v>245</v>
      </c>
      <c r="E1167" s="1" t="s">
        <v>124</v>
      </c>
      <c r="F1167" s="1" t="s">
        <v>225</v>
      </c>
      <c r="G1167" s="1" t="s">
        <v>248</v>
      </c>
      <c r="H1167" s="1" t="s">
        <v>128</v>
      </c>
      <c r="I1167" s="1">
        <v>2</v>
      </c>
      <c r="J1167" s="1">
        <v>25216</v>
      </c>
      <c r="K1167" s="1">
        <v>45388.800000000003</v>
      </c>
      <c r="L1167" s="1" t="s">
        <v>222</v>
      </c>
      <c r="M1167" s="1">
        <v>10</v>
      </c>
      <c r="N1167" s="1">
        <v>5510.83</v>
      </c>
    </row>
    <row r="1168" spans="1:14" x14ac:dyDescent="0.25">
      <c r="A1168" s="1">
        <v>2167</v>
      </c>
      <c r="B1168" s="1" t="s">
        <v>573</v>
      </c>
      <c r="C1168" s="1" t="s">
        <v>239</v>
      </c>
      <c r="D1168" s="1" t="s">
        <v>245</v>
      </c>
      <c r="E1168" s="1" t="s">
        <v>124</v>
      </c>
      <c r="F1168" s="1" t="s">
        <v>225</v>
      </c>
      <c r="G1168" s="1" t="s">
        <v>236</v>
      </c>
      <c r="H1168" s="1" t="s">
        <v>221</v>
      </c>
      <c r="I1168" s="1">
        <v>1</v>
      </c>
      <c r="J1168" s="1">
        <v>1577</v>
      </c>
      <c r="K1168" s="1">
        <v>1577</v>
      </c>
      <c r="L1168" s="1" t="s">
        <v>218</v>
      </c>
      <c r="M1168" s="1">
        <v>0</v>
      </c>
      <c r="N1168" s="1">
        <v>463.09</v>
      </c>
    </row>
    <row r="1169" spans="1:14" x14ac:dyDescent="0.25">
      <c r="A1169" s="1">
        <v>2168</v>
      </c>
      <c r="B1169" s="1" t="s">
        <v>573</v>
      </c>
      <c r="C1169" s="1" t="s">
        <v>213</v>
      </c>
      <c r="D1169" s="1" t="s">
        <v>224</v>
      </c>
      <c r="E1169" s="1" t="s">
        <v>233</v>
      </c>
      <c r="F1169" s="1" t="s">
        <v>215</v>
      </c>
      <c r="G1169" s="1" t="s">
        <v>216</v>
      </c>
      <c r="H1169" s="1" t="s">
        <v>221</v>
      </c>
      <c r="I1169" s="1">
        <v>3</v>
      </c>
      <c r="J1169" s="1">
        <v>34763</v>
      </c>
      <c r="K1169" s="1">
        <v>104289</v>
      </c>
      <c r="L1169" s="1" t="s">
        <v>227</v>
      </c>
      <c r="M1169" s="1">
        <v>0</v>
      </c>
      <c r="N1169" s="1">
        <v>13639.37</v>
      </c>
    </row>
    <row r="1170" spans="1:14" x14ac:dyDescent="0.25">
      <c r="A1170" s="1">
        <v>2169</v>
      </c>
      <c r="B1170" s="1" t="s">
        <v>573</v>
      </c>
      <c r="C1170" s="1" t="s">
        <v>229</v>
      </c>
      <c r="D1170" s="1" t="s">
        <v>245</v>
      </c>
      <c r="E1170" s="1" t="s">
        <v>124</v>
      </c>
      <c r="F1170" s="1" t="s">
        <v>225</v>
      </c>
      <c r="G1170" s="1" t="s">
        <v>236</v>
      </c>
      <c r="H1170" s="1" t="s">
        <v>128</v>
      </c>
      <c r="I1170" s="1">
        <v>5</v>
      </c>
      <c r="J1170" s="1">
        <v>28141</v>
      </c>
      <c r="K1170" s="1">
        <v>126634.5</v>
      </c>
      <c r="L1170" s="1" t="s">
        <v>240</v>
      </c>
      <c r="M1170" s="1">
        <v>10</v>
      </c>
      <c r="N1170" s="1">
        <v>14386.92</v>
      </c>
    </row>
    <row r="1171" spans="1:14" x14ac:dyDescent="0.25">
      <c r="A1171" s="1">
        <v>2170</v>
      </c>
      <c r="B1171" s="1" t="s">
        <v>574</v>
      </c>
      <c r="C1171" s="1" t="s">
        <v>239</v>
      </c>
      <c r="D1171" s="1" t="s">
        <v>224</v>
      </c>
      <c r="E1171" s="1" t="s">
        <v>233</v>
      </c>
      <c r="F1171" s="1" t="s">
        <v>230</v>
      </c>
      <c r="G1171" s="1" t="s">
        <v>241</v>
      </c>
      <c r="H1171" s="1" t="s">
        <v>128</v>
      </c>
      <c r="I1171" s="1">
        <v>1</v>
      </c>
      <c r="J1171" s="1">
        <v>26525</v>
      </c>
      <c r="K1171" s="1">
        <v>22546.25</v>
      </c>
      <c r="L1171" s="1" t="s">
        <v>218</v>
      </c>
      <c r="M1171" s="1">
        <v>15</v>
      </c>
      <c r="N1171" s="1">
        <v>3008.33</v>
      </c>
    </row>
    <row r="1172" spans="1:14" x14ac:dyDescent="0.25">
      <c r="A1172" s="1">
        <v>2171</v>
      </c>
      <c r="B1172" s="1" t="s">
        <v>574</v>
      </c>
      <c r="C1172" s="1" t="s">
        <v>223</v>
      </c>
      <c r="D1172" s="1" t="s">
        <v>245</v>
      </c>
      <c r="E1172" s="1" t="s">
        <v>124</v>
      </c>
      <c r="F1172" s="1" t="s">
        <v>215</v>
      </c>
      <c r="G1172" s="1" t="s">
        <v>244</v>
      </c>
      <c r="H1172" s="1" t="s">
        <v>234</v>
      </c>
      <c r="I1172" s="1">
        <v>5</v>
      </c>
      <c r="J1172" s="1">
        <v>11209</v>
      </c>
      <c r="K1172" s="1">
        <v>47638.25</v>
      </c>
      <c r="L1172" s="1" t="s">
        <v>227</v>
      </c>
      <c r="M1172" s="1">
        <v>15</v>
      </c>
      <c r="N1172" s="1">
        <v>11110.33</v>
      </c>
    </row>
    <row r="1173" spans="1:14" x14ac:dyDescent="0.25">
      <c r="A1173" s="1">
        <v>2172</v>
      </c>
      <c r="B1173" s="1" t="s">
        <v>574</v>
      </c>
      <c r="C1173" s="1" t="s">
        <v>223</v>
      </c>
      <c r="D1173" s="1" t="s">
        <v>245</v>
      </c>
      <c r="E1173" s="1" t="s">
        <v>124</v>
      </c>
      <c r="F1173" s="1" t="s">
        <v>215</v>
      </c>
      <c r="G1173" s="1" t="s">
        <v>244</v>
      </c>
      <c r="H1173" s="1" t="s">
        <v>221</v>
      </c>
      <c r="I1173" s="1">
        <v>2</v>
      </c>
      <c r="J1173" s="1">
        <v>12419</v>
      </c>
      <c r="K1173" s="1">
        <v>21112.3</v>
      </c>
      <c r="L1173" s="1" t="s">
        <v>222</v>
      </c>
      <c r="M1173" s="1">
        <v>15</v>
      </c>
      <c r="N1173" s="1">
        <v>2640.59</v>
      </c>
    </row>
    <row r="1174" spans="1:14" x14ac:dyDescent="0.25">
      <c r="A1174" s="1">
        <v>2173</v>
      </c>
      <c r="B1174" s="1" t="s">
        <v>574</v>
      </c>
      <c r="C1174" s="1" t="s">
        <v>229</v>
      </c>
      <c r="D1174" s="1" t="s">
        <v>220</v>
      </c>
      <c r="E1174" s="1" t="s">
        <v>85</v>
      </c>
      <c r="F1174" s="1" t="s">
        <v>230</v>
      </c>
      <c r="G1174" s="1" t="s">
        <v>242</v>
      </c>
      <c r="H1174" s="1" t="s">
        <v>221</v>
      </c>
      <c r="I1174" s="1">
        <v>1</v>
      </c>
      <c r="J1174" s="1">
        <v>17263</v>
      </c>
      <c r="K1174" s="1">
        <v>15536.7</v>
      </c>
      <c r="L1174" s="1" t="s">
        <v>227</v>
      </c>
      <c r="M1174" s="1">
        <v>10</v>
      </c>
      <c r="N1174" s="1">
        <v>3150.55</v>
      </c>
    </row>
    <row r="1175" spans="1:14" x14ac:dyDescent="0.25">
      <c r="A1175" s="1">
        <v>2174</v>
      </c>
      <c r="B1175" s="1" t="s">
        <v>574</v>
      </c>
      <c r="C1175" s="1" t="s">
        <v>229</v>
      </c>
      <c r="D1175" s="1" t="s">
        <v>214</v>
      </c>
      <c r="E1175" s="1" t="s">
        <v>124</v>
      </c>
      <c r="F1175" s="1" t="s">
        <v>230</v>
      </c>
      <c r="G1175" s="1" t="s">
        <v>231</v>
      </c>
      <c r="H1175" s="1" t="s">
        <v>217</v>
      </c>
      <c r="I1175" s="1">
        <v>1</v>
      </c>
      <c r="J1175" s="1">
        <v>48221</v>
      </c>
      <c r="K1175" s="1">
        <v>43398.9</v>
      </c>
      <c r="L1175" s="1" t="s">
        <v>240</v>
      </c>
      <c r="M1175" s="1">
        <v>10</v>
      </c>
      <c r="N1175" s="1">
        <v>6052.02</v>
      </c>
    </row>
    <row r="1176" spans="1:14" x14ac:dyDescent="0.25">
      <c r="A1176" s="1">
        <v>2175</v>
      </c>
      <c r="B1176" s="1" t="s">
        <v>575</v>
      </c>
      <c r="C1176" s="1" t="s">
        <v>229</v>
      </c>
      <c r="D1176" s="1" t="s">
        <v>214</v>
      </c>
      <c r="E1176" s="1" t="s">
        <v>124</v>
      </c>
      <c r="F1176" s="1" t="s">
        <v>215</v>
      </c>
      <c r="G1176" s="1" t="s">
        <v>216</v>
      </c>
      <c r="H1176" s="1" t="s">
        <v>221</v>
      </c>
      <c r="I1176" s="1">
        <v>5</v>
      </c>
      <c r="J1176" s="1">
        <v>30134</v>
      </c>
      <c r="K1176" s="1">
        <v>143136.5</v>
      </c>
      <c r="L1176" s="1" t="s">
        <v>227</v>
      </c>
      <c r="M1176" s="1">
        <v>5</v>
      </c>
      <c r="N1176" s="1">
        <v>25754.34</v>
      </c>
    </row>
    <row r="1177" spans="1:14" x14ac:dyDescent="0.25">
      <c r="A1177" s="1">
        <v>2176</v>
      </c>
      <c r="B1177" s="1" t="s">
        <v>575</v>
      </c>
      <c r="C1177" s="1" t="s">
        <v>213</v>
      </c>
      <c r="D1177" s="1" t="s">
        <v>220</v>
      </c>
      <c r="E1177" s="1" t="s">
        <v>85</v>
      </c>
      <c r="F1177" s="1" t="s">
        <v>215</v>
      </c>
      <c r="G1177" s="1" t="s">
        <v>246</v>
      </c>
      <c r="H1177" s="1" t="s">
        <v>128</v>
      </c>
      <c r="I1177" s="1">
        <v>4</v>
      </c>
      <c r="J1177" s="1">
        <v>22640</v>
      </c>
      <c r="K1177" s="1">
        <v>90560</v>
      </c>
      <c r="L1177" s="1" t="s">
        <v>218</v>
      </c>
      <c r="M1177" s="1">
        <v>0</v>
      </c>
      <c r="N1177" s="1">
        <v>9261.11</v>
      </c>
    </row>
    <row r="1178" spans="1:14" x14ac:dyDescent="0.25">
      <c r="A1178" s="1">
        <v>2177</v>
      </c>
      <c r="B1178" s="1" t="s">
        <v>575</v>
      </c>
      <c r="C1178" s="1" t="s">
        <v>223</v>
      </c>
      <c r="D1178" s="1" t="s">
        <v>220</v>
      </c>
      <c r="E1178" s="1" t="s">
        <v>85</v>
      </c>
      <c r="F1178" s="1" t="s">
        <v>225</v>
      </c>
      <c r="G1178" s="1" t="s">
        <v>236</v>
      </c>
      <c r="H1178" s="1" t="s">
        <v>221</v>
      </c>
      <c r="I1178" s="1">
        <v>5</v>
      </c>
      <c r="J1178" s="1">
        <v>12244</v>
      </c>
      <c r="K1178" s="1">
        <v>55098</v>
      </c>
      <c r="L1178" s="1" t="s">
        <v>240</v>
      </c>
      <c r="M1178" s="1">
        <v>10</v>
      </c>
      <c r="N1178" s="1">
        <v>16073.24</v>
      </c>
    </row>
    <row r="1179" spans="1:14" x14ac:dyDescent="0.25">
      <c r="A1179" s="1">
        <v>2178</v>
      </c>
      <c r="B1179" s="1" t="s">
        <v>575</v>
      </c>
      <c r="C1179" s="1" t="s">
        <v>223</v>
      </c>
      <c r="D1179" s="1" t="s">
        <v>232</v>
      </c>
      <c r="E1179" s="1" t="s">
        <v>233</v>
      </c>
      <c r="F1179" s="1" t="s">
        <v>225</v>
      </c>
      <c r="G1179" s="1" t="s">
        <v>236</v>
      </c>
      <c r="H1179" s="1" t="s">
        <v>217</v>
      </c>
      <c r="I1179" s="1">
        <v>2</v>
      </c>
      <c r="J1179" s="1">
        <v>24076</v>
      </c>
      <c r="K1179" s="1">
        <v>48152</v>
      </c>
      <c r="L1179" s="1" t="s">
        <v>222</v>
      </c>
      <c r="M1179" s="1">
        <v>0</v>
      </c>
      <c r="N1179" s="1">
        <v>10078.59</v>
      </c>
    </row>
    <row r="1180" spans="1:14" x14ac:dyDescent="0.25">
      <c r="A1180" s="1">
        <v>2179</v>
      </c>
      <c r="B1180" s="1" t="s">
        <v>576</v>
      </c>
      <c r="C1180" s="1" t="s">
        <v>239</v>
      </c>
      <c r="D1180" s="1" t="s">
        <v>232</v>
      </c>
      <c r="E1180" s="1" t="s">
        <v>233</v>
      </c>
      <c r="F1180" s="1" t="s">
        <v>230</v>
      </c>
      <c r="G1180" s="1" t="s">
        <v>242</v>
      </c>
      <c r="H1180" s="1" t="s">
        <v>221</v>
      </c>
      <c r="I1180" s="1">
        <v>2</v>
      </c>
      <c r="J1180" s="1">
        <v>13287</v>
      </c>
      <c r="K1180" s="1">
        <v>25245.3</v>
      </c>
      <c r="L1180" s="1" t="s">
        <v>222</v>
      </c>
      <c r="M1180" s="1">
        <v>5</v>
      </c>
      <c r="N1180" s="1">
        <v>4836.2700000000004</v>
      </c>
    </row>
    <row r="1181" spans="1:14" x14ac:dyDescent="0.25">
      <c r="A1181" s="1">
        <v>2180</v>
      </c>
      <c r="B1181" s="1" t="s">
        <v>576</v>
      </c>
      <c r="C1181" s="1" t="s">
        <v>239</v>
      </c>
      <c r="D1181" s="1" t="s">
        <v>245</v>
      </c>
      <c r="E1181" s="1" t="s">
        <v>124</v>
      </c>
      <c r="F1181" s="1" t="s">
        <v>225</v>
      </c>
      <c r="G1181" s="1" t="s">
        <v>236</v>
      </c>
      <c r="H1181" s="1" t="s">
        <v>221</v>
      </c>
      <c r="I1181" s="1">
        <v>4</v>
      </c>
      <c r="J1181" s="1">
        <v>33576</v>
      </c>
      <c r="K1181" s="1">
        <v>134304</v>
      </c>
      <c r="L1181" s="1" t="s">
        <v>227</v>
      </c>
      <c r="M1181" s="1">
        <v>0</v>
      </c>
      <c r="N1181" s="1">
        <v>34854.22</v>
      </c>
    </row>
    <row r="1182" spans="1:14" x14ac:dyDescent="0.25">
      <c r="A1182" s="1">
        <v>2181</v>
      </c>
      <c r="B1182" s="1" t="s">
        <v>576</v>
      </c>
      <c r="C1182" s="1" t="s">
        <v>239</v>
      </c>
      <c r="D1182" s="1" t="s">
        <v>214</v>
      </c>
      <c r="E1182" s="1" t="s">
        <v>124</v>
      </c>
      <c r="F1182" s="1" t="s">
        <v>215</v>
      </c>
      <c r="G1182" s="1" t="s">
        <v>244</v>
      </c>
      <c r="H1182" s="1" t="s">
        <v>217</v>
      </c>
      <c r="I1182" s="1">
        <v>1</v>
      </c>
      <c r="J1182" s="1">
        <v>10158</v>
      </c>
      <c r="K1182" s="1">
        <v>9650.1</v>
      </c>
      <c r="L1182" s="1" t="s">
        <v>218</v>
      </c>
      <c r="M1182" s="1">
        <v>5</v>
      </c>
      <c r="N1182" s="1">
        <v>2312.9899999999998</v>
      </c>
    </row>
    <row r="1183" spans="1:14" x14ac:dyDescent="0.25">
      <c r="A1183" s="1">
        <v>2182</v>
      </c>
      <c r="B1183" s="1" t="s">
        <v>576</v>
      </c>
      <c r="C1183" s="1" t="s">
        <v>239</v>
      </c>
      <c r="D1183" s="1" t="s">
        <v>232</v>
      </c>
      <c r="E1183" s="1" t="s">
        <v>233</v>
      </c>
      <c r="F1183" s="1" t="s">
        <v>230</v>
      </c>
      <c r="G1183" s="1" t="s">
        <v>241</v>
      </c>
      <c r="H1183" s="1" t="s">
        <v>234</v>
      </c>
      <c r="I1183" s="1">
        <v>5</v>
      </c>
      <c r="J1183" s="1">
        <v>2425</v>
      </c>
      <c r="K1183" s="1">
        <v>12125</v>
      </c>
      <c r="L1183" s="1" t="s">
        <v>222</v>
      </c>
      <c r="M1183" s="1">
        <v>0</v>
      </c>
      <c r="N1183" s="1">
        <v>2988.87</v>
      </c>
    </row>
    <row r="1184" spans="1:14" x14ac:dyDescent="0.25">
      <c r="A1184" s="1">
        <v>2183</v>
      </c>
      <c r="B1184" s="1" t="s">
        <v>577</v>
      </c>
      <c r="C1184" s="1" t="s">
        <v>219</v>
      </c>
      <c r="D1184" s="1" t="s">
        <v>214</v>
      </c>
      <c r="E1184" s="1" t="s">
        <v>124</v>
      </c>
      <c r="F1184" s="1" t="s">
        <v>230</v>
      </c>
      <c r="G1184" s="1" t="s">
        <v>231</v>
      </c>
      <c r="H1184" s="1" t="s">
        <v>128</v>
      </c>
      <c r="I1184" s="1">
        <v>3</v>
      </c>
      <c r="J1184" s="1">
        <v>15811</v>
      </c>
      <c r="K1184" s="1">
        <v>47433</v>
      </c>
      <c r="L1184" s="1" t="s">
        <v>240</v>
      </c>
      <c r="M1184" s="1">
        <v>0</v>
      </c>
      <c r="N1184" s="1">
        <v>9705.91</v>
      </c>
    </row>
    <row r="1185" spans="1:14" x14ac:dyDescent="0.25">
      <c r="A1185" s="1">
        <v>2184</v>
      </c>
      <c r="B1185" s="1" t="s">
        <v>577</v>
      </c>
      <c r="C1185" s="1" t="s">
        <v>229</v>
      </c>
      <c r="D1185" s="1" t="s">
        <v>214</v>
      </c>
      <c r="E1185" s="1" t="s">
        <v>124</v>
      </c>
      <c r="F1185" s="1" t="s">
        <v>225</v>
      </c>
      <c r="G1185" s="1" t="s">
        <v>248</v>
      </c>
      <c r="H1185" s="1" t="s">
        <v>221</v>
      </c>
      <c r="I1185" s="1">
        <v>2</v>
      </c>
      <c r="J1185" s="1">
        <v>12736</v>
      </c>
      <c r="K1185" s="1">
        <v>25472</v>
      </c>
      <c r="L1185" s="1" t="s">
        <v>227</v>
      </c>
      <c r="M1185" s="1">
        <v>0</v>
      </c>
      <c r="N1185" s="1">
        <v>3684.86</v>
      </c>
    </row>
    <row r="1186" spans="1:14" x14ac:dyDescent="0.25">
      <c r="A1186" s="1">
        <v>2185</v>
      </c>
      <c r="B1186" s="1" t="s">
        <v>577</v>
      </c>
      <c r="C1186" s="1" t="s">
        <v>239</v>
      </c>
      <c r="D1186" s="1" t="s">
        <v>224</v>
      </c>
      <c r="E1186" s="1" t="s">
        <v>233</v>
      </c>
      <c r="F1186" s="1" t="s">
        <v>215</v>
      </c>
      <c r="G1186" s="1" t="s">
        <v>216</v>
      </c>
      <c r="H1186" s="1" t="s">
        <v>234</v>
      </c>
      <c r="I1186" s="1">
        <v>4</v>
      </c>
      <c r="J1186" s="1">
        <v>8234</v>
      </c>
      <c r="K1186" s="1">
        <v>31289.200000000001</v>
      </c>
      <c r="L1186" s="1" t="s">
        <v>240</v>
      </c>
      <c r="M1186" s="1">
        <v>5</v>
      </c>
      <c r="N1186" s="1">
        <v>5024.1400000000003</v>
      </c>
    </row>
    <row r="1187" spans="1:14" x14ac:dyDescent="0.25">
      <c r="A1187" s="1">
        <v>2186</v>
      </c>
      <c r="B1187" s="1" t="s">
        <v>577</v>
      </c>
      <c r="C1187" s="1" t="s">
        <v>229</v>
      </c>
      <c r="D1187" s="1" t="s">
        <v>220</v>
      </c>
      <c r="E1187" s="1" t="s">
        <v>85</v>
      </c>
      <c r="F1187" s="1" t="s">
        <v>230</v>
      </c>
      <c r="G1187" s="1" t="s">
        <v>231</v>
      </c>
      <c r="H1187" s="1" t="s">
        <v>128</v>
      </c>
      <c r="I1187" s="1">
        <v>3</v>
      </c>
      <c r="J1187" s="1">
        <v>5827</v>
      </c>
      <c r="K1187" s="1">
        <v>15732.9</v>
      </c>
      <c r="L1187" s="1" t="s">
        <v>240</v>
      </c>
      <c r="M1187" s="1">
        <v>10</v>
      </c>
      <c r="N1187" s="1">
        <v>1754.6</v>
      </c>
    </row>
    <row r="1188" spans="1:14" x14ac:dyDescent="0.25">
      <c r="A1188" s="1">
        <v>2187</v>
      </c>
      <c r="B1188" s="1" t="s">
        <v>578</v>
      </c>
      <c r="C1188" s="1" t="s">
        <v>239</v>
      </c>
      <c r="D1188" s="1" t="s">
        <v>224</v>
      </c>
      <c r="E1188" s="1" t="s">
        <v>233</v>
      </c>
      <c r="F1188" s="1" t="s">
        <v>230</v>
      </c>
      <c r="G1188" s="1" t="s">
        <v>231</v>
      </c>
      <c r="H1188" s="1" t="s">
        <v>221</v>
      </c>
      <c r="I1188" s="1">
        <v>1</v>
      </c>
      <c r="J1188" s="1">
        <v>44404</v>
      </c>
      <c r="K1188" s="1">
        <v>39963.599999999999</v>
      </c>
      <c r="L1188" s="1" t="s">
        <v>218</v>
      </c>
      <c r="M1188" s="1">
        <v>10</v>
      </c>
      <c r="N1188" s="1">
        <v>9168.9500000000007</v>
      </c>
    </row>
    <row r="1189" spans="1:14" x14ac:dyDescent="0.25">
      <c r="A1189" s="1">
        <v>2188</v>
      </c>
      <c r="B1189" s="1" t="s">
        <v>578</v>
      </c>
      <c r="C1189" s="1" t="s">
        <v>239</v>
      </c>
      <c r="D1189" s="1" t="s">
        <v>220</v>
      </c>
      <c r="E1189" s="1" t="s">
        <v>85</v>
      </c>
      <c r="F1189" s="1" t="s">
        <v>230</v>
      </c>
      <c r="G1189" s="1" t="s">
        <v>241</v>
      </c>
      <c r="H1189" s="1" t="s">
        <v>217</v>
      </c>
      <c r="I1189" s="1">
        <v>3</v>
      </c>
      <c r="J1189" s="1">
        <v>45406</v>
      </c>
      <c r="K1189" s="1">
        <v>122596.2</v>
      </c>
      <c r="L1189" s="1" t="s">
        <v>227</v>
      </c>
      <c r="M1189" s="1">
        <v>10</v>
      </c>
      <c r="N1189" s="1">
        <v>18610.669999999998</v>
      </c>
    </row>
    <row r="1190" spans="1:14" x14ac:dyDescent="0.25">
      <c r="A1190" s="1">
        <v>2189</v>
      </c>
      <c r="B1190" s="1" t="s">
        <v>578</v>
      </c>
      <c r="C1190" s="1" t="s">
        <v>219</v>
      </c>
      <c r="D1190" s="1" t="s">
        <v>232</v>
      </c>
      <c r="E1190" s="1" t="s">
        <v>233</v>
      </c>
      <c r="F1190" s="1" t="s">
        <v>230</v>
      </c>
      <c r="G1190" s="1" t="s">
        <v>231</v>
      </c>
      <c r="H1190" s="1" t="s">
        <v>221</v>
      </c>
      <c r="I1190" s="1">
        <v>5</v>
      </c>
      <c r="J1190" s="1">
        <v>30214</v>
      </c>
      <c r="K1190" s="1">
        <v>143516.5</v>
      </c>
      <c r="L1190" s="1" t="s">
        <v>227</v>
      </c>
      <c r="M1190" s="1">
        <v>5</v>
      </c>
      <c r="N1190" s="1">
        <v>32625.14</v>
      </c>
    </row>
    <row r="1191" spans="1:14" x14ac:dyDescent="0.25">
      <c r="A1191" s="1">
        <v>2190</v>
      </c>
      <c r="B1191" s="1" t="s">
        <v>578</v>
      </c>
      <c r="C1191" s="1" t="s">
        <v>213</v>
      </c>
      <c r="D1191" s="1" t="s">
        <v>232</v>
      </c>
      <c r="E1191" s="1" t="s">
        <v>233</v>
      </c>
      <c r="F1191" s="1" t="s">
        <v>225</v>
      </c>
      <c r="G1191" s="1" t="s">
        <v>248</v>
      </c>
      <c r="H1191" s="1" t="s">
        <v>217</v>
      </c>
      <c r="I1191" s="1">
        <v>3</v>
      </c>
      <c r="J1191" s="1">
        <v>10122</v>
      </c>
      <c r="K1191" s="1">
        <v>25811.1</v>
      </c>
      <c r="L1191" s="1" t="s">
        <v>218</v>
      </c>
      <c r="M1191" s="1">
        <v>15</v>
      </c>
      <c r="N1191" s="1">
        <v>6517.06</v>
      </c>
    </row>
    <row r="1192" spans="1:14" x14ac:dyDescent="0.25">
      <c r="A1192" s="1">
        <v>2191</v>
      </c>
      <c r="B1192" s="1" t="s">
        <v>578</v>
      </c>
      <c r="C1192" s="1" t="s">
        <v>223</v>
      </c>
      <c r="D1192" s="1" t="s">
        <v>245</v>
      </c>
      <c r="E1192" s="1" t="s">
        <v>124</v>
      </c>
      <c r="F1192" s="1" t="s">
        <v>225</v>
      </c>
      <c r="G1192" s="1" t="s">
        <v>226</v>
      </c>
      <c r="H1192" s="1" t="s">
        <v>217</v>
      </c>
      <c r="I1192" s="1">
        <v>3</v>
      </c>
      <c r="J1192" s="1">
        <v>42878</v>
      </c>
      <c r="K1192" s="1">
        <v>128634</v>
      </c>
      <c r="L1192" s="1" t="s">
        <v>227</v>
      </c>
      <c r="M1192" s="1">
        <v>0</v>
      </c>
      <c r="N1192" s="1">
        <v>37359.129999999997</v>
      </c>
    </row>
    <row r="1193" spans="1:14" x14ac:dyDescent="0.25">
      <c r="A1193" s="1">
        <v>2192</v>
      </c>
      <c r="B1193" s="1" t="s">
        <v>579</v>
      </c>
      <c r="C1193" s="1" t="s">
        <v>229</v>
      </c>
      <c r="D1193" s="1" t="s">
        <v>245</v>
      </c>
      <c r="E1193" s="1" t="s">
        <v>124</v>
      </c>
      <c r="F1193" s="1" t="s">
        <v>225</v>
      </c>
      <c r="G1193" s="1" t="s">
        <v>236</v>
      </c>
      <c r="H1193" s="1" t="s">
        <v>221</v>
      </c>
      <c r="I1193" s="1">
        <v>4</v>
      </c>
      <c r="J1193" s="1">
        <v>49386</v>
      </c>
      <c r="K1193" s="1">
        <v>177789.6</v>
      </c>
      <c r="L1193" s="1" t="s">
        <v>227</v>
      </c>
      <c r="M1193" s="1">
        <v>10</v>
      </c>
      <c r="N1193" s="1">
        <v>19938.32</v>
      </c>
    </row>
    <row r="1194" spans="1:14" x14ac:dyDescent="0.25">
      <c r="A1194" s="1">
        <v>2193</v>
      </c>
      <c r="B1194" s="1" t="s">
        <v>579</v>
      </c>
      <c r="C1194" s="1" t="s">
        <v>229</v>
      </c>
      <c r="D1194" s="1" t="s">
        <v>232</v>
      </c>
      <c r="E1194" s="1" t="s">
        <v>233</v>
      </c>
      <c r="F1194" s="1" t="s">
        <v>215</v>
      </c>
      <c r="G1194" s="1" t="s">
        <v>244</v>
      </c>
      <c r="H1194" s="1" t="s">
        <v>234</v>
      </c>
      <c r="I1194" s="1">
        <v>3</v>
      </c>
      <c r="J1194" s="1">
        <v>28046</v>
      </c>
      <c r="K1194" s="1">
        <v>71517.3</v>
      </c>
      <c r="L1194" s="1" t="s">
        <v>240</v>
      </c>
      <c r="M1194" s="1">
        <v>15</v>
      </c>
      <c r="N1194" s="1">
        <v>17165.39</v>
      </c>
    </row>
    <row r="1195" spans="1:14" x14ac:dyDescent="0.25">
      <c r="A1195" s="1">
        <v>2194</v>
      </c>
      <c r="B1195" s="1" t="s">
        <v>579</v>
      </c>
      <c r="C1195" s="1" t="s">
        <v>213</v>
      </c>
      <c r="D1195" s="1" t="s">
        <v>232</v>
      </c>
      <c r="E1195" s="1" t="s">
        <v>233</v>
      </c>
      <c r="F1195" s="1" t="s">
        <v>225</v>
      </c>
      <c r="G1195" s="1" t="s">
        <v>236</v>
      </c>
      <c r="H1195" s="1" t="s">
        <v>234</v>
      </c>
      <c r="I1195" s="1">
        <v>4</v>
      </c>
      <c r="J1195" s="1">
        <v>33189</v>
      </c>
      <c r="K1195" s="1">
        <v>112842.6</v>
      </c>
      <c r="L1195" s="1" t="s">
        <v>218</v>
      </c>
      <c r="M1195" s="1">
        <v>15</v>
      </c>
      <c r="N1195" s="1">
        <v>21778.400000000001</v>
      </c>
    </row>
    <row r="1196" spans="1:14" x14ac:dyDescent="0.25">
      <c r="A1196" s="1">
        <v>2195</v>
      </c>
      <c r="B1196" s="1" t="s">
        <v>579</v>
      </c>
      <c r="C1196" s="1" t="s">
        <v>219</v>
      </c>
      <c r="D1196" s="1" t="s">
        <v>232</v>
      </c>
      <c r="E1196" s="1" t="s">
        <v>233</v>
      </c>
      <c r="F1196" s="1" t="s">
        <v>225</v>
      </c>
      <c r="G1196" s="1" t="s">
        <v>236</v>
      </c>
      <c r="H1196" s="1" t="s">
        <v>217</v>
      </c>
      <c r="I1196" s="1">
        <v>1</v>
      </c>
      <c r="J1196" s="1">
        <v>24424</v>
      </c>
      <c r="K1196" s="1">
        <v>23202.799999999999</v>
      </c>
      <c r="L1196" s="1" t="s">
        <v>240</v>
      </c>
      <c r="M1196" s="1">
        <v>5</v>
      </c>
      <c r="N1196" s="1">
        <v>6370.68</v>
      </c>
    </row>
    <row r="1197" spans="1:14" x14ac:dyDescent="0.25">
      <c r="A1197" s="1">
        <v>2196</v>
      </c>
      <c r="B1197" s="1" t="s">
        <v>580</v>
      </c>
      <c r="C1197" s="1" t="s">
        <v>229</v>
      </c>
      <c r="D1197" s="1" t="s">
        <v>232</v>
      </c>
      <c r="E1197" s="1" t="s">
        <v>233</v>
      </c>
      <c r="F1197" s="1" t="s">
        <v>215</v>
      </c>
      <c r="G1197" s="1" t="s">
        <v>216</v>
      </c>
      <c r="H1197" s="1" t="s">
        <v>128</v>
      </c>
      <c r="I1197" s="1">
        <v>1</v>
      </c>
      <c r="J1197" s="1">
        <v>26400</v>
      </c>
      <c r="K1197" s="1">
        <v>26400</v>
      </c>
      <c r="L1197" s="1" t="s">
        <v>240</v>
      </c>
      <c r="M1197" s="1">
        <v>0</v>
      </c>
      <c r="N1197" s="1">
        <v>5764.08</v>
      </c>
    </row>
    <row r="1198" spans="1:14" x14ac:dyDescent="0.25">
      <c r="A1198" s="1">
        <v>2197</v>
      </c>
      <c r="B1198" s="1" t="s">
        <v>580</v>
      </c>
      <c r="C1198" s="1" t="s">
        <v>223</v>
      </c>
      <c r="D1198" s="1" t="s">
        <v>224</v>
      </c>
      <c r="E1198" s="1" t="s">
        <v>233</v>
      </c>
      <c r="F1198" s="1" t="s">
        <v>230</v>
      </c>
      <c r="G1198" s="1" t="s">
        <v>231</v>
      </c>
      <c r="H1198" s="1" t="s">
        <v>234</v>
      </c>
      <c r="I1198" s="1">
        <v>1</v>
      </c>
      <c r="J1198" s="1">
        <v>5195</v>
      </c>
      <c r="K1198" s="1">
        <v>4415.75</v>
      </c>
      <c r="L1198" s="1" t="s">
        <v>227</v>
      </c>
      <c r="M1198" s="1">
        <v>15</v>
      </c>
      <c r="N1198" s="1">
        <v>677.8</v>
      </c>
    </row>
    <row r="1199" spans="1:14" x14ac:dyDescent="0.25">
      <c r="A1199" s="1">
        <v>2198</v>
      </c>
      <c r="B1199" s="1" t="s">
        <v>581</v>
      </c>
      <c r="C1199" s="1" t="s">
        <v>213</v>
      </c>
      <c r="D1199" s="1" t="s">
        <v>220</v>
      </c>
      <c r="E1199" s="1" t="s">
        <v>85</v>
      </c>
      <c r="F1199" s="1" t="s">
        <v>215</v>
      </c>
      <c r="G1199" s="1" t="s">
        <v>244</v>
      </c>
      <c r="H1199" s="1" t="s">
        <v>217</v>
      </c>
      <c r="I1199" s="1">
        <v>1</v>
      </c>
      <c r="J1199" s="1">
        <v>37903</v>
      </c>
      <c r="K1199" s="1">
        <v>36007.85</v>
      </c>
      <c r="L1199" s="1" t="s">
        <v>227</v>
      </c>
      <c r="M1199" s="1">
        <v>5</v>
      </c>
      <c r="N1199" s="1">
        <v>10732.45</v>
      </c>
    </row>
    <row r="1200" spans="1:14" x14ac:dyDescent="0.25">
      <c r="A1200" s="1">
        <v>2199</v>
      </c>
      <c r="B1200" s="1" t="s">
        <v>581</v>
      </c>
      <c r="C1200" s="1" t="s">
        <v>213</v>
      </c>
      <c r="D1200" s="1" t="s">
        <v>232</v>
      </c>
      <c r="E1200" s="1" t="s">
        <v>233</v>
      </c>
      <c r="F1200" s="1" t="s">
        <v>225</v>
      </c>
      <c r="G1200" s="1" t="s">
        <v>226</v>
      </c>
      <c r="H1200" s="1" t="s">
        <v>217</v>
      </c>
      <c r="I1200" s="1">
        <v>2</v>
      </c>
      <c r="J1200" s="1">
        <v>28763</v>
      </c>
      <c r="K1200" s="1">
        <v>51773.4</v>
      </c>
      <c r="L1200" s="1" t="s">
        <v>227</v>
      </c>
      <c r="M1200" s="1">
        <v>10</v>
      </c>
      <c r="N1200" s="1">
        <v>5982.48</v>
      </c>
    </row>
    <row r="1201" spans="1:14" x14ac:dyDescent="0.25">
      <c r="A1201" s="1">
        <v>2200</v>
      </c>
      <c r="B1201" s="1" t="s">
        <v>581</v>
      </c>
      <c r="C1201" s="1" t="s">
        <v>239</v>
      </c>
      <c r="D1201" s="1" t="s">
        <v>245</v>
      </c>
      <c r="E1201" s="1" t="s">
        <v>124</v>
      </c>
      <c r="F1201" s="1" t="s">
        <v>215</v>
      </c>
      <c r="G1201" s="1" t="s">
        <v>246</v>
      </c>
      <c r="H1201" s="1" t="s">
        <v>221</v>
      </c>
      <c r="I1201" s="1">
        <v>3</v>
      </c>
      <c r="J1201" s="1">
        <v>48627</v>
      </c>
      <c r="K1201" s="1">
        <v>138586.95000000001</v>
      </c>
      <c r="L1201" s="1" t="s">
        <v>240</v>
      </c>
      <c r="M1201" s="1">
        <v>5</v>
      </c>
      <c r="N1201" s="1">
        <v>35740.9</v>
      </c>
    </row>
    <row r="1202" spans="1:14" x14ac:dyDescent="0.25">
      <c r="A1202" s="1">
        <v>2201</v>
      </c>
      <c r="B1202" s="1" t="s">
        <v>581</v>
      </c>
      <c r="C1202" s="1" t="s">
        <v>223</v>
      </c>
      <c r="D1202" s="1" t="s">
        <v>220</v>
      </c>
      <c r="E1202" s="1" t="s">
        <v>85</v>
      </c>
      <c r="F1202" s="1" t="s">
        <v>215</v>
      </c>
      <c r="G1202" s="1" t="s">
        <v>216</v>
      </c>
      <c r="H1202" s="1" t="s">
        <v>217</v>
      </c>
      <c r="I1202" s="1">
        <v>5</v>
      </c>
      <c r="J1202" s="1">
        <v>12665</v>
      </c>
      <c r="K1202" s="1">
        <v>60158.75</v>
      </c>
      <c r="L1202" s="1" t="s">
        <v>227</v>
      </c>
      <c r="M1202" s="1">
        <v>5</v>
      </c>
      <c r="N1202" s="1">
        <v>7910.81</v>
      </c>
    </row>
    <row r="1203" spans="1:14" x14ac:dyDescent="0.25">
      <c r="A1203" s="1">
        <v>2202</v>
      </c>
      <c r="B1203" s="1" t="s">
        <v>582</v>
      </c>
      <c r="C1203" s="1" t="s">
        <v>219</v>
      </c>
      <c r="D1203" s="1" t="s">
        <v>232</v>
      </c>
      <c r="E1203" s="1" t="s">
        <v>233</v>
      </c>
      <c r="F1203" s="1" t="s">
        <v>230</v>
      </c>
      <c r="G1203" s="1" t="s">
        <v>231</v>
      </c>
      <c r="H1203" s="1" t="s">
        <v>221</v>
      </c>
      <c r="I1203" s="1">
        <v>3</v>
      </c>
      <c r="J1203" s="1">
        <v>27459</v>
      </c>
      <c r="K1203" s="1">
        <v>74139.3</v>
      </c>
      <c r="L1203" s="1" t="s">
        <v>222</v>
      </c>
      <c r="M1203" s="1">
        <v>10</v>
      </c>
      <c r="N1203" s="1">
        <v>12250.36</v>
      </c>
    </row>
    <row r="1204" spans="1:14" x14ac:dyDescent="0.25">
      <c r="A1204" s="1">
        <v>2203</v>
      </c>
      <c r="B1204" s="1" t="s">
        <v>582</v>
      </c>
      <c r="C1204" s="1" t="s">
        <v>239</v>
      </c>
      <c r="D1204" s="1" t="s">
        <v>220</v>
      </c>
      <c r="E1204" s="1" t="s">
        <v>85</v>
      </c>
      <c r="F1204" s="1" t="s">
        <v>230</v>
      </c>
      <c r="G1204" s="1" t="s">
        <v>231</v>
      </c>
      <c r="H1204" s="1" t="s">
        <v>217</v>
      </c>
      <c r="I1204" s="1">
        <v>2</v>
      </c>
      <c r="J1204" s="1">
        <v>48725</v>
      </c>
      <c r="K1204" s="1">
        <v>97450</v>
      </c>
      <c r="L1204" s="1" t="s">
        <v>240</v>
      </c>
      <c r="M1204" s="1">
        <v>0</v>
      </c>
      <c r="N1204" s="1">
        <v>29004.76</v>
      </c>
    </row>
    <row r="1205" spans="1:14" x14ac:dyDescent="0.25">
      <c r="A1205" s="1">
        <v>2204</v>
      </c>
      <c r="B1205" s="1" t="s">
        <v>582</v>
      </c>
      <c r="C1205" s="1" t="s">
        <v>239</v>
      </c>
      <c r="D1205" s="1" t="s">
        <v>232</v>
      </c>
      <c r="E1205" s="1" t="s">
        <v>233</v>
      </c>
      <c r="F1205" s="1" t="s">
        <v>230</v>
      </c>
      <c r="G1205" s="1" t="s">
        <v>231</v>
      </c>
      <c r="H1205" s="1" t="s">
        <v>221</v>
      </c>
      <c r="I1205" s="1">
        <v>4</v>
      </c>
      <c r="J1205" s="1">
        <v>43217</v>
      </c>
      <c r="K1205" s="1">
        <v>155581.20000000001</v>
      </c>
      <c r="L1205" s="1" t="s">
        <v>218</v>
      </c>
      <c r="M1205" s="1">
        <v>10</v>
      </c>
      <c r="N1205" s="1">
        <v>37572.620000000003</v>
      </c>
    </row>
    <row r="1206" spans="1:14" x14ac:dyDescent="0.25">
      <c r="A1206" s="1">
        <v>2205</v>
      </c>
      <c r="B1206" s="1" t="s">
        <v>583</v>
      </c>
      <c r="C1206" s="1" t="s">
        <v>239</v>
      </c>
      <c r="D1206" s="1" t="s">
        <v>224</v>
      </c>
      <c r="E1206" s="1" t="s">
        <v>233</v>
      </c>
      <c r="F1206" s="1" t="s">
        <v>225</v>
      </c>
      <c r="G1206" s="1" t="s">
        <v>236</v>
      </c>
      <c r="H1206" s="1" t="s">
        <v>128</v>
      </c>
      <c r="I1206" s="1">
        <v>4</v>
      </c>
      <c r="J1206" s="1">
        <v>49680</v>
      </c>
      <c r="K1206" s="1">
        <v>168912</v>
      </c>
      <c r="L1206" s="1" t="s">
        <v>222</v>
      </c>
      <c r="M1206" s="1">
        <v>15</v>
      </c>
      <c r="N1206" s="1">
        <v>28021.119999999999</v>
      </c>
    </row>
    <row r="1207" spans="1:14" x14ac:dyDescent="0.25">
      <c r="A1207" s="1">
        <v>2206</v>
      </c>
      <c r="B1207" s="1" t="s">
        <v>583</v>
      </c>
      <c r="C1207" s="1" t="s">
        <v>229</v>
      </c>
      <c r="D1207" s="1" t="s">
        <v>214</v>
      </c>
      <c r="E1207" s="1" t="s">
        <v>124</v>
      </c>
      <c r="F1207" s="1" t="s">
        <v>230</v>
      </c>
      <c r="G1207" s="1" t="s">
        <v>231</v>
      </c>
      <c r="H1207" s="1" t="s">
        <v>234</v>
      </c>
      <c r="I1207" s="1">
        <v>3</v>
      </c>
      <c r="J1207" s="1">
        <v>27813</v>
      </c>
      <c r="K1207" s="1">
        <v>70923.149999999994</v>
      </c>
      <c r="L1207" s="1" t="s">
        <v>222</v>
      </c>
      <c r="M1207" s="1">
        <v>15</v>
      </c>
      <c r="N1207" s="1">
        <v>11653.5</v>
      </c>
    </row>
    <row r="1208" spans="1:14" x14ac:dyDescent="0.25">
      <c r="A1208" s="1">
        <v>2207</v>
      </c>
      <c r="B1208" s="1" t="s">
        <v>584</v>
      </c>
      <c r="C1208" s="1" t="s">
        <v>219</v>
      </c>
      <c r="D1208" s="1" t="s">
        <v>245</v>
      </c>
      <c r="E1208" s="1" t="s">
        <v>124</v>
      </c>
      <c r="F1208" s="1" t="s">
        <v>215</v>
      </c>
      <c r="G1208" s="1" t="s">
        <v>216</v>
      </c>
      <c r="H1208" s="1" t="s">
        <v>234</v>
      </c>
      <c r="I1208" s="1">
        <v>3</v>
      </c>
      <c r="J1208" s="1">
        <v>24602</v>
      </c>
      <c r="K1208" s="1">
        <v>73806</v>
      </c>
      <c r="L1208" s="1" t="s">
        <v>218</v>
      </c>
      <c r="M1208" s="1">
        <v>0</v>
      </c>
      <c r="N1208" s="1">
        <v>21787.51</v>
      </c>
    </row>
    <row r="1209" spans="1:14" x14ac:dyDescent="0.25">
      <c r="A1209" s="1">
        <v>2208</v>
      </c>
      <c r="B1209" s="1" t="s">
        <v>584</v>
      </c>
      <c r="C1209" s="1" t="s">
        <v>223</v>
      </c>
      <c r="D1209" s="1" t="s">
        <v>245</v>
      </c>
      <c r="E1209" s="1" t="s">
        <v>124</v>
      </c>
      <c r="F1209" s="1" t="s">
        <v>230</v>
      </c>
      <c r="G1209" s="1" t="s">
        <v>231</v>
      </c>
      <c r="H1209" s="1" t="s">
        <v>234</v>
      </c>
      <c r="I1209" s="1">
        <v>1</v>
      </c>
      <c r="J1209" s="1">
        <v>48869</v>
      </c>
      <c r="K1209" s="1">
        <v>46425.55</v>
      </c>
      <c r="L1209" s="1" t="s">
        <v>240</v>
      </c>
      <c r="M1209" s="1">
        <v>5</v>
      </c>
      <c r="N1209" s="1">
        <v>7022.19</v>
      </c>
    </row>
    <row r="1210" spans="1:14" x14ac:dyDescent="0.25">
      <c r="A1210" s="1">
        <v>2209</v>
      </c>
      <c r="B1210" s="1" t="s">
        <v>584</v>
      </c>
      <c r="C1210" s="1" t="s">
        <v>239</v>
      </c>
      <c r="D1210" s="1" t="s">
        <v>232</v>
      </c>
      <c r="E1210" s="1" t="s">
        <v>233</v>
      </c>
      <c r="F1210" s="1" t="s">
        <v>215</v>
      </c>
      <c r="G1210" s="1" t="s">
        <v>216</v>
      </c>
      <c r="H1210" s="1" t="s">
        <v>128</v>
      </c>
      <c r="I1210" s="1">
        <v>2</v>
      </c>
      <c r="J1210" s="1">
        <v>1727</v>
      </c>
      <c r="K1210" s="1">
        <v>3281.3</v>
      </c>
      <c r="L1210" s="1" t="s">
        <v>222</v>
      </c>
      <c r="M1210" s="1">
        <v>5</v>
      </c>
      <c r="N1210" s="1">
        <v>757.07</v>
      </c>
    </row>
    <row r="1211" spans="1:14" x14ac:dyDescent="0.25">
      <c r="A1211" s="1">
        <v>2210</v>
      </c>
      <c r="B1211" s="1" t="s">
        <v>584</v>
      </c>
      <c r="C1211" s="1" t="s">
        <v>239</v>
      </c>
      <c r="D1211" s="1" t="s">
        <v>214</v>
      </c>
      <c r="E1211" s="1" t="s">
        <v>124</v>
      </c>
      <c r="F1211" s="1" t="s">
        <v>215</v>
      </c>
      <c r="G1211" s="1" t="s">
        <v>216</v>
      </c>
      <c r="H1211" s="1" t="s">
        <v>217</v>
      </c>
      <c r="I1211" s="1">
        <v>2</v>
      </c>
      <c r="J1211" s="1">
        <v>10929</v>
      </c>
      <c r="K1211" s="1">
        <v>19672.2</v>
      </c>
      <c r="L1211" s="1" t="s">
        <v>222</v>
      </c>
      <c r="M1211" s="1">
        <v>10</v>
      </c>
      <c r="N1211" s="1">
        <v>5352.11</v>
      </c>
    </row>
    <row r="1212" spans="1:14" x14ac:dyDescent="0.25">
      <c r="A1212" s="1">
        <v>2211</v>
      </c>
      <c r="B1212" s="1" t="s">
        <v>585</v>
      </c>
      <c r="C1212" s="1" t="s">
        <v>239</v>
      </c>
      <c r="D1212" s="1" t="s">
        <v>224</v>
      </c>
      <c r="E1212" s="1" t="s">
        <v>233</v>
      </c>
      <c r="F1212" s="1" t="s">
        <v>225</v>
      </c>
      <c r="G1212" s="1" t="s">
        <v>248</v>
      </c>
      <c r="H1212" s="1" t="s">
        <v>128</v>
      </c>
      <c r="I1212" s="1">
        <v>4</v>
      </c>
      <c r="J1212" s="1">
        <v>9601</v>
      </c>
      <c r="K1212" s="1">
        <v>36483.800000000003</v>
      </c>
      <c r="L1212" s="1" t="s">
        <v>240</v>
      </c>
      <c r="M1212" s="1">
        <v>5</v>
      </c>
      <c r="N1212" s="1">
        <v>8051.99</v>
      </c>
    </row>
    <row r="1213" spans="1:14" x14ac:dyDescent="0.25">
      <c r="A1213" s="1">
        <v>2212</v>
      </c>
      <c r="B1213" s="1" t="s">
        <v>585</v>
      </c>
      <c r="C1213" s="1" t="s">
        <v>239</v>
      </c>
      <c r="D1213" s="1" t="s">
        <v>245</v>
      </c>
      <c r="E1213" s="1" t="s">
        <v>124</v>
      </c>
      <c r="F1213" s="1" t="s">
        <v>215</v>
      </c>
      <c r="G1213" s="1" t="s">
        <v>244</v>
      </c>
      <c r="H1213" s="1" t="s">
        <v>234</v>
      </c>
      <c r="I1213" s="1">
        <v>4</v>
      </c>
      <c r="J1213" s="1">
        <v>31687</v>
      </c>
      <c r="K1213" s="1">
        <v>120410.6</v>
      </c>
      <c r="L1213" s="1" t="s">
        <v>218</v>
      </c>
      <c r="M1213" s="1">
        <v>5</v>
      </c>
      <c r="N1213" s="1">
        <v>29946.3</v>
      </c>
    </row>
    <row r="1214" spans="1:14" x14ac:dyDescent="0.25">
      <c r="A1214" s="1">
        <v>2213</v>
      </c>
      <c r="B1214" s="1" t="s">
        <v>585</v>
      </c>
      <c r="C1214" s="1" t="s">
        <v>219</v>
      </c>
      <c r="D1214" s="1" t="s">
        <v>232</v>
      </c>
      <c r="E1214" s="1" t="s">
        <v>233</v>
      </c>
      <c r="F1214" s="1" t="s">
        <v>215</v>
      </c>
      <c r="G1214" s="1" t="s">
        <v>246</v>
      </c>
      <c r="H1214" s="1" t="s">
        <v>221</v>
      </c>
      <c r="I1214" s="1">
        <v>3</v>
      </c>
      <c r="J1214" s="1">
        <v>3387</v>
      </c>
      <c r="K1214" s="1">
        <v>8636.85</v>
      </c>
      <c r="L1214" s="1" t="s">
        <v>240</v>
      </c>
      <c r="M1214" s="1">
        <v>15</v>
      </c>
      <c r="N1214" s="1">
        <v>1565.62</v>
      </c>
    </row>
    <row r="1215" spans="1:14" x14ac:dyDescent="0.25">
      <c r="A1215" s="1">
        <v>2214</v>
      </c>
      <c r="B1215" s="1" t="s">
        <v>586</v>
      </c>
      <c r="C1215" s="1" t="s">
        <v>213</v>
      </c>
      <c r="D1215" s="1" t="s">
        <v>224</v>
      </c>
      <c r="E1215" s="1" t="s">
        <v>233</v>
      </c>
      <c r="F1215" s="1" t="s">
        <v>225</v>
      </c>
      <c r="G1215" s="1" t="s">
        <v>236</v>
      </c>
      <c r="H1215" s="1" t="s">
        <v>128</v>
      </c>
      <c r="I1215" s="1">
        <v>5</v>
      </c>
      <c r="J1215" s="1">
        <v>9509</v>
      </c>
      <c r="K1215" s="1">
        <v>45167.75</v>
      </c>
      <c r="L1215" s="1" t="s">
        <v>222</v>
      </c>
      <c r="M1215" s="1">
        <v>5</v>
      </c>
      <c r="N1215" s="1">
        <v>7407.01</v>
      </c>
    </row>
    <row r="1216" spans="1:14" x14ac:dyDescent="0.25">
      <c r="A1216" s="1">
        <v>2215</v>
      </c>
      <c r="B1216" s="1" t="s">
        <v>586</v>
      </c>
      <c r="C1216" s="1" t="s">
        <v>239</v>
      </c>
      <c r="D1216" s="1" t="s">
        <v>224</v>
      </c>
      <c r="E1216" s="1" t="s">
        <v>233</v>
      </c>
      <c r="F1216" s="1" t="s">
        <v>230</v>
      </c>
      <c r="G1216" s="1" t="s">
        <v>231</v>
      </c>
      <c r="H1216" s="1" t="s">
        <v>128</v>
      </c>
      <c r="I1216" s="1">
        <v>5</v>
      </c>
      <c r="J1216" s="1">
        <v>30302</v>
      </c>
      <c r="K1216" s="1">
        <v>151510</v>
      </c>
      <c r="L1216" s="1" t="s">
        <v>218</v>
      </c>
      <c r="M1216" s="1">
        <v>0</v>
      </c>
      <c r="N1216" s="1">
        <v>34931.360000000001</v>
      </c>
    </row>
    <row r="1217" spans="1:14" x14ac:dyDescent="0.25">
      <c r="A1217" s="1">
        <v>2216</v>
      </c>
      <c r="B1217" s="1" t="s">
        <v>586</v>
      </c>
      <c r="C1217" s="1" t="s">
        <v>229</v>
      </c>
      <c r="D1217" s="1" t="s">
        <v>245</v>
      </c>
      <c r="E1217" s="1" t="s">
        <v>124</v>
      </c>
      <c r="F1217" s="1" t="s">
        <v>225</v>
      </c>
      <c r="G1217" s="1" t="s">
        <v>236</v>
      </c>
      <c r="H1217" s="1" t="s">
        <v>221</v>
      </c>
      <c r="I1217" s="1">
        <v>2</v>
      </c>
      <c r="J1217" s="1">
        <v>10464</v>
      </c>
      <c r="K1217" s="1">
        <v>20928</v>
      </c>
      <c r="L1217" s="1" t="s">
        <v>218</v>
      </c>
      <c r="M1217" s="1">
        <v>0</v>
      </c>
      <c r="N1217" s="1">
        <v>3636.53</v>
      </c>
    </row>
    <row r="1218" spans="1:14" x14ac:dyDescent="0.25">
      <c r="A1218" s="1">
        <v>2217</v>
      </c>
      <c r="B1218" s="1" t="s">
        <v>587</v>
      </c>
      <c r="C1218" s="1" t="s">
        <v>239</v>
      </c>
      <c r="D1218" s="1" t="s">
        <v>214</v>
      </c>
      <c r="E1218" s="1" t="s">
        <v>124</v>
      </c>
      <c r="F1218" s="1" t="s">
        <v>230</v>
      </c>
      <c r="G1218" s="1" t="s">
        <v>231</v>
      </c>
      <c r="H1218" s="1" t="s">
        <v>234</v>
      </c>
      <c r="I1218" s="1">
        <v>2</v>
      </c>
      <c r="J1218" s="1">
        <v>18318</v>
      </c>
      <c r="K1218" s="1">
        <v>36636</v>
      </c>
      <c r="L1218" s="1" t="s">
        <v>227</v>
      </c>
      <c r="M1218" s="1">
        <v>0</v>
      </c>
      <c r="N1218" s="1">
        <v>4754.82</v>
      </c>
    </row>
    <row r="1219" spans="1:14" x14ac:dyDescent="0.25">
      <c r="A1219" s="1">
        <v>2218</v>
      </c>
      <c r="B1219" s="1" t="s">
        <v>587</v>
      </c>
      <c r="C1219" s="1" t="s">
        <v>229</v>
      </c>
      <c r="D1219" s="1" t="s">
        <v>232</v>
      </c>
      <c r="E1219" s="1" t="s">
        <v>233</v>
      </c>
      <c r="F1219" s="1" t="s">
        <v>230</v>
      </c>
      <c r="G1219" s="1" t="s">
        <v>241</v>
      </c>
      <c r="H1219" s="1" t="s">
        <v>217</v>
      </c>
      <c r="I1219" s="1">
        <v>2</v>
      </c>
      <c r="J1219" s="1">
        <v>7310</v>
      </c>
      <c r="K1219" s="1">
        <v>14620</v>
      </c>
      <c r="L1219" s="1" t="s">
        <v>240</v>
      </c>
      <c r="M1219" s="1">
        <v>0</v>
      </c>
      <c r="N1219" s="1">
        <v>2978.05</v>
      </c>
    </row>
    <row r="1220" spans="1:14" x14ac:dyDescent="0.25">
      <c r="A1220" s="1">
        <v>2219</v>
      </c>
      <c r="B1220" s="1" t="s">
        <v>588</v>
      </c>
      <c r="C1220" s="1" t="s">
        <v>219</v>
      </c>
      <c r="D1220" s="1" t="s">
        <v>214</v>
      </c>
      <c r="E1220" s="1" t="s">
        <v>124</v>
      </c>
      <c r="F1220" s="1" t="s">
        <v>215</v>
      </c>
      <c r="G1220" s="1" t="s">
        <v>246</v>
      </c>
      <c r="H1220" s="1" t="s">
        <v>221</v>
      </c>
      <c r="I1220" s="1">
        <v>1</v>
      </c>
      <c r="J1220" s="1">
        <v>41502</v>
      </c>
      <c r="K1220" s="1">
        <v>39426.9</v>
      </c>
      <c r="L1220" s="1" t="s">
        <v>222</v>
      </c>
      <c r="M1220" s="1">
        <v>5</v>
      </c>
      <c r="N1220" s="1">
        <v>8265.42</v>
      </c>
    </row>
    <row r="1221" spans="1:14" x14ac:dyDescent="0.25">
      <c r="A1221" s="1">
        <v>2220</v>
      </c>
      <c r="B1221" s="1" t="s">
        <v>588</v>
      </c>
      <c r="C1221" s="1" t="s">
        <v>239</v>
      </c>
      <c r="D1221" s="1" t="s">
        <v>245</v>
      </c>
      <c r="E1221" s="1" t="s">
        <v>124</v>
      </c>
      <c r="F1221" s="1" t="s">
        <v>230</v>
      </c>
      <c r="G1221" s="1" t="s">
        <v>242</v>
      </c>
      <c r="H1221" s="1" t="s">
        <v>128</v>
      </c>
      <c r="I1221" s="1">
        <v>2</v>
      </c>
      <c r="J1221" s="1">
        <v>6462</v>
      </c>
      <c r="K1221" s="1">
        <v>12924</v>
      </c>
      <c r="L1221" s="1" t="s">
        <v>222</v>
      </c>
      <c r="M1221" s="1">
        <v>0</v>
      </c>
      <c r="N1221" s="1">
        <v>2775.23</v>
      </c>
    </row>
    <row r="1222" spans="1:14" x14ac:dyDescent="0.25">
      <c r="A1222" s="1">
        <v>2221</v>
      </c>
      <c r="B1222" s="1" t="s">
        <v>589</v>
      </c>
      <c r="C1222" s="1" t="s">
        <v>213</v>
      </c>
      <c r="D1222" s="1" t="s">
        <v>245</v>
      </c>
      <c r="E1222" s="1" t="s">
        <v>124</v>
      </c>
      <c r="F1222" s="1" t="s">
        <v>225</v>
      </c>
      <c r="G1222" s="1" t="s">
        <v>226</v>
      </c>
      <c r="H1222" s="1" t="s">
        <v>234</v>
      </c>
      <c r="I1222" s="1">
        <v>2</v>
      </c>
      <c r="J1222" s="1">
        <v>3279</v>
      </c>
      <c r="K1222" s="1">
        <v>5574.3</v>
      </c>
      <c r="L1222" s="1" t="s">
        <v>227</v>
      </c>
      <c r="M1222" s="1">
        <v>15</v>
      </c>
      <c r="N1222" s="1">
        <v>1483.57</v>
      </c>
    </row>
    <row r="1223" spans="1:14" x14ac:dyDescent="0.25">
      <c r="A1223" s="1">
        <v>2222</v>
      </c>
      <c r="B1223" s="1" t="s">
        <v>589</v>
      </c>
      <c r="C1223" s="1" t="s">
        <v>229</v>
      </c>
      <c r="D1223" s="1" t="s">
        <v>224</v>
      </c>
      <c r="E1223" s="1" t="s">
        <v>233</v>
      </c>
      <c r="F1223" s="1" t="s">
        <v>215</v>
      </c>
      <c r="G1223" s="1" t="s">
        <v>216</v>
      </c>
      <c r="H1223" s="1" t="s">
        <v>221</v>
      </c>
      <c r="I1223" s="1">
        <v>2</v>
      </c>
      <c r="J1223" s="1">
        <v>43304</v>
      </c>
      <c r="K1223" s="1">
        <v>73616.800000000003</v>
      </c>
      <c r="L1223" s="1" t="s">
        <v>222</v>
      </c>
      <c r="M1223" s="1">
        <v>15</v>
      </c>
      <c r="N1223" s="1">
        <v>9549.65</v>
      </c>
    </row>
    <row r="1224" spans="1:14" x14ac:dyDescent="0.25">
      <c r="A1224" s="1">
        <v>2223</v>
      </c>
      <c r="B1224" s="1" t="s">
        <v>589</v>
      </c>
      <c r="C1224" s="1" t="s">
        <v>223</v>
      </c>
      <c r="D1224" s="1" t="s">
        <v>232</v>
      </c>
      <c r="E1224" s="1" t="s">
        <v>233</v>
      </c>
      <c r="F1224" s="1" t="s">
        <v>230</v>
      </c>
      <c r="G1224" s="1" t="s">
        <v>231</v>
      </c>
      <c r="H1224" s="1" t="s">
        <v>221</v>
      </c>
      <c r="I1224" s="1">
        <v>4</v>
      </c>
      <c r="J1224" s="1">
        <v>37193</v>
      </c>
      <c r="K1224" s="1">
        <v>141333.4</v>
      </c>
      <c r="L1224" s="1" t="s">
        <v>218</v>
      </c>
      <c r="M1224" s="1">
        <v>5</v>
      </c>
      <c r="N1224" s="1">
        <v>17503.759999999998</v>
      </c>
    </row>
    <row r="1225" spans="1:14" x14ac:dyDescent="0.25">
      <c r="A1225" s="1">
        <v>2224</v>
      </c>
      <c r="B1225" s="1" t="s">
        <v>590</v>
      </c>
      <c r="C1225" s="1" t="s">
        <v>223</v>
      </c>
      <c r="D1225" s="1" t="s">
        <v>224</v>
      </c>
      <c r="E1225" s="1" t="s">
        <v>233</v>
      </c>
      <c r="F1225" s="1" t="s">
        <v>230</v>
      </c>
      <c r="G1225" s="1" t="s">
        <v>241</v>
      </c>
      <c r="H1225" s="1" t="s">
        <v>221</v>
      </c>
      <c r="I1225" s="1">
        <v>5</v>
      </c>
      <c r="J1225" s="1">
        <v>44690</v>
      </c>
      <c r="K1225" s="1">
        <v>189932.5</v>
      </c>
      <c r="L1225" s="1" t="s">
        <v>218</v>
      </c>
      <c r="M1225" s="1">
        <v>15</v>
      </c>
      <c r="N1225" s="1">
        <v>23751.08</v>
      </c>
    </row>
    <row r="1226" spans="1:14" x14ac:dyDescent="0.25">
      <c r="A1226" s="1">
        <v>2225</v>
      </c>
      <c r="B1226" s="1" t="s">
        <v>590</v>
      </c>
      <c r="C1226" s="1" t="s">
        <v>213</v>
      </c>
      <c r="D1226" s="1" t="s">
        <v>245</v>
      </c>
      <c r="E1226" s="1" t="s">
        <v>124</v>
      </c>
      <c r="F1226" s="1" t="s">
        <v>215</v>
      </c>
      <c r="G1226" s="1" t="s">
        <v>246</v>
      </c>
      <c r="H1226" s="1" t="s">
        <v>234</v>
      </c>
      <c r="I1226" s="1">
        <v>1</v>
      </c>
      <c r="J1226" s="1">
        <v>28059</v>
      </c>
      <c r="K1226" s="1">
        <v>26656.05</v>
      </c>
      <c r="L1226" s="1" t="s">
        <v>240</v>
      </c>
      <c r="M1226" s="1">
        <v>5</v>
      </c>
      <c r="N1226" s="1">
        <v>5728.38</v>
      </c>
    </row>
    <row r="1227" spans="1:14" x14ac:dyDescent="0.25">
      <c r="A1227" s="1">
        <v>2226</v>
      </c>
      <c r="B1227" s="1" t="s">
        <v>590</v>
      </c>
      <c r="C1227" s="1" t="s">
        <v>219</v>
      </c>
      <c r="D1227" s="1" t="s">
        <v>245</v>
      </c>
      <c r="E1227" s="1" t="s">
        <v>124</v>
      </c>
      <c r="F1227" s="1" t="s">
        <v>230</v>
      </c>
      <c r="G1227" s="1" t="s">
        <v>231</v>
      </c>
      <c r="H1227" s="1" t="s">
        <v>217</v>
      </c>
      <c r="I1227" s="1">
        <v>3</v>
      </c>
      <c r="J1227" s="1">
        <v>45665</v>
      </c>
      <c r="K1227" s="1">
        <v>130145.25</v>
      </c>
      <c r="L1227" s="1" t="s">
        <v>227</v>
      </c>
      <c r="M1227" s="1">
        <v>5</v>
      </c>
      <c r="N1227" s="1">
        <v>23886.240000000002</v>
      </c>
    </row>
    <row r="1228" spans="1:14" x14ac:dyDescent="0.25">
      <c r="A1228" s="1">
        <v>2227</v>
      </c>
      <c r="B1228" s="1" t="s">
        <v>590</v>
      </c>
      <c r="C1228" s="1" t="s">
        <v>239</v>
      </c>
      <c r="D1228" s="1" t="s">
        <v>232</v>
      </c>
      <c r="E1228" s="1" t="s">
        <v>233</v>
      </c>
      <c r="F1228" s="1" t="s">
        <v>230</v>
      </c>
      <c r="G1228" s="1" t="s">
        <v>242</v>
      </c>
      <c r="H1228" s="1" t="s">
        <v>217</v>
      </c>
      <c r="I1228" s="1">
        <v>2</v>
      </c>
      <c r="J1228" s="1">
        <v>1955</v>
      </c>
      <c r="K1228" s="1">
        <v>3714.5</v>
      </c>
      <c r="L1228" s="1" t="s">
        <v>240</v>
      </c>
      <c r="M1228" s="1">
        <v>5</v>
      </c>
      <c r="N1228" s="1">
        <v>406.9</v>
      </c>
    </row>
    <row r="1229" spans="1:14" x14ac:dyDescent="0.25">
      <c r="A1229" s="1">
        <v>2228</v>
      </c>
      <c r="B1229" s="1" t="s">
        <v>590</v>
      </c>
      <c r="C1229" s="1" t="s">
        <v>223</v>
      </c>
      <c r="D1229" s="1" t="s">
        <v>214</v>
      </c>
      <c r="E1229" s="1" t="s">
        <v>124</v>
      </c>
      <c r="F1229" s="1" t="s">
        <v>230</v>
      </c>
      <c r="G1229" s="1" t="s">
        <v>242</v>
      </c>
      <c r="H1229" s="1" t="s">
        <v>128</v>
      </c>
      <c r="I1229" s="1">
        <v>3</v>
      </c>
      <c r="J1229" s="1">
        <v>24615</v>
      </c>
      <c r="K1229" s="1">
        <v>66460.5</v>
      </c>
      <c r="L1229" s="1" t="s">
        <v>240</v>
      </c>
      <c r="M1229" s="1">
        <v>10</v>
      </c>
      <c r="N1229" s="1">
        <v>11408.17</v>
      </c>
    </row>
    <row r="1230" spans="1:14" x14ac:dyDescent="0.25">
      <c r="A1230" s="1">
        <v>2229</v>
      </c>
      <c r="B1230" s="1" t="s">
        <v>591</v>
      </c>
      <c r="C1230" s="1" t="s">
        <v>239</v>
      </c>
      <c r="D1230" s="1" t="s">
        <v>232</v>
      </c>
      <c r="E1230" s="1" t="s">
        <v>233</v>
      </c>
      <c r="F1230" s="1" t="s">
        <v>230</v>
      </c>
      <c r="G1230" s="1" t="s">
        <v>242</v>
      </c>
      <c r="H1230" s="1" t="s">
        <v>221</v>
      </c>
      <c r="I1230" s="1">
        <v>5</v>
      </c>
      <c r="J1230" s="1">
        <v>26240</v>
      </c>
      <c r="K1230" s="1">
        <v>118080</v>
      </c>
      <c r="L1230" s="1" t="s">
        <v>240</v>
      </c>
      <c r="M1230" s="1">
        <v>10</v>
      </c>
      <c r="N1230" s="1">
        <v>33618.83</v>
      </c>
    </row>
    <row r="1231" spans="1:14" x14ac:dyDescent="0.25">
      <c r="A1231" s="1">
        <v>2230</v>
      </c>
      <c r="B1231" s="1" t="s">
        <v>591</v>
      </c>
      <c r="C1231" s="1" t="s">
        <v>219</v>
      </c>
      <c r="D1231" s="1" t="s">
        <v>232</v>
      </c>
      <c r="E1231" s="1" t="s">
        <v>233</v>
      </c>
      <c r="F1231" s="1" t="s">
        <v>215</v>
      </c>
      <c r="G1231" s="1" t="s">
        <v>244</v>
      </c>
      <c r="H1231" s="1" t="s">
        <v>221</v>
      </c>
      <c r="I1231" s="1">
        <v>1</v>
      </c>
      <c r="J1231" s="1">
        <v>4879</v>
      </c>
      <c r="K1231" s="1">
        <v>4147.1499999999996</v>
      </c>
      <c r="L1231" s="1" t="s">
        <v>222</v>
      </c>
      <c r="M1231" s="1">
        <v>15</v>
      </c>
      <c r="N1231" s="1">
        <v>786.53</v>
      </c>
    </row>
    <row r="1232" spans="1:14" x14ac:dyDescent="0.25">
      <c r="A1232" s="1">
        <v>2231</v>
      </c>
      <c r="B1232" s="1" t="s">
        <v>591</v>
      </c>
      <c r="C1232" s="1" t="s">
        <v>223</v>
      </c>
      <c r="D1232" s="1" t="s">
        <v>220</v>
      </c>
      <c r="E1232" s="1" t="s">
        <v>85</v>
      </c>
      <c r="F1232" s="1" t="s">
        <v>225</v>
      </c>
      <c r="G1232" s="1" t="s">
        <v>236</v>
      </c>
      <c r="H1232" s="1" t="s">
        <v>221</v>
      </c>
      <c r="I1232" s="1">
        <v>3</v>
      </c>
      <c r="J1232" s="1">
        <v>27055</v>
      </c>
      <c r="K1232" s="1">
        <v>81165</v>
      </c>
      <c r="L1232" s="1" t="s">
        <v>240</v>
      </c>
      <c r="M1232" s="1">
        <v>0</v>
      </c>
      <c r="N1232" s="1">
        <v>16254.72</v>
      </c>
    </row>
    <row r="1233" spans="1:14" x14ac:dyDescent="0.25">
      <c r="A1233" s="1">
        <v>2232</v>
      </c>
      <c r="B1233" s="1" t="s">
        <v>592</v>
      </c>
      <c r="C1233" s="1" t="s">
        <v>223</v>
      </c>
      <c r="D1233" s="1" t="s">
        <v>224</v>
      </c>
      <c r="E1233" s="1" t="s">
        <v>233</v>
      </c>
      <c r="F1233" s="1" t="s">
        <v>230</v>
      </c>
      <c r="G1233" s="1" t="s">
        <v>231</v>
      </c>
      <c r="H1233" s="1" t="s">
        <v>221</v>
      </c>
      <c r="I1233" s="1">
        <v>4</v>
      </c>
      <c r="J1233" s="1">
        <v>38860</v>
      </c>
      <c r="K1233" s="1">
        <v>132124</v>
      </c>
      <c r="L1233" s="1" t="s">
        <v>240</v>
      </c>
      <c r="M1233" s="1">
        <v>15</v>
      </c>
      <c r="N1233" s="1">
        <v>29505.439999999999</v>
      </c>
    </row>
    <row r="1234" spans="1:14" x14ac:dyDescent="0.25">
      <c r="A1234" s="1">
        <v>2233</v>
      </c>
      <c r="B1234" s="1" t="s">
        <v>592</v>
      </c>
      <c r="C1234" s="1" t="s">
        <v>229</v>
      </c>
      <c r="D1234" s="1" t="s">
        <v>214</v>
      </c>
      <c r="E1234" s="1" t="s">
        <v>124</v>
      </c>
      <c r="F1234" s="1" t="s">
        <v>225</v>
      </c>
      <c r="G1234" s="1" t="s">
        <v>248</v>
      </c>
      <c r="H1234" s="1" t="s">
        <v>128</v>
      </c>
      <c r="I1234" s="1">
        <v>1</v>
      </c>
      <c r="J1234" s="1">
        <v>42712</v>
      </c>
      <c r="K1234" s="1">
        <v>40576.400000000001</v>
      </c>
      <c r="L1234" s="1" t="s">
        <v>222</v>
      </c>
      <c r="M1234" s="1">
        <v>5</v>
      </c>
      <c r="N1234" s="1">
        <v>5489.09</v>
      </c>
    </row>
    <row r="1235" spans="1:14" x14ac:dyDescent="0.25">
      <c r="A1235" s="1">
        <v>2234</v>
      </c>
      <c r="B1235" s="1" t="s">
        <v>592</v>
      </c>
      <c r="C1235" s="1" t="s">
        <v>229</v>
      </c>
      <c r="D1235" s="1" t="s">
        <v>214</v>
      </c>
      <c r="E1235" s="1" t="s">
        <v>124</v>
      </c>
      <c r="F1235" s="1" t="s">
        <v>215</v>
      </c>
      <c r="G1235" s="1" t="s">
        <v>246</v>
      </c>
      <c r="H1235" s="1" t="s">
        <v>217</v>
      </c>
      <c r="I1235" s="1">
        <v>1</v>
      </c>
      <c r="J1235" s="1">
        <v>7875</v>
      </c>
      <c r="K1235" s="1">
        <v>7087.5</v>
      </c>
      <c r="L1235" s="1" t="s">
        <v>227</v>
      </c>
      <c r="M1235" s="1">
        <v>10</v>
      </c>
      <c r="N1235" s="1">
        <v>1348.2</v>
      </c>
    </row>
    <row r="1236" spans="1:14" x14ac:dyDescent="0.25">
      <c r="A1236" s="1">
        <v>2235</v>
      </c>
      <c r="B1236" s="1" t="s">
        <v>592</v>
      </c>
      <c r="C1236" s="1" t="s">
        <v>223</v>
      </c>
      <c r="D1236" s="1" t="s">
        <v>220</v>
      </c>
      <c r="E1236" s="1" t="s">
        <v>85</v>
      </c>
      <c r="F1236" s="1" t="s">
        <v>230</v>
      </c>
      <c r="G1236" s="1" t="s">
        <v>241</v>
      </c>
      <c r="H1236" s="1" t="s">
        <v>128</v>
      </c>
      <c r="I1236" s="1">
        <v>3</v>
      </c>
      <c r="J1236" s="1">
        <v>1790</v>
      </c>
      <c r="K1236" s="1">
        <v>5101.5</v>
      </c>
      <c r="L1236" s="1" t="s">
        <v>218</v>
      </c>
      <c r="M1236" s="1">
        <v>5</v>
      </c>
      <c r="N1236" s="1">
        <v>1113.46</v>
      </c>
    </row>
    <row r="1237" spans="1:14" x14ac:dyDescent="0.25">
      <c r="A1237" s="1">
        <v>2236</v>
      </c>
      <c r="B1237" s="1" t="s">
        <v>593</v>
      </c>
      <c r="C1237" s="1" t="s">
        <v>239</v>
      </c>
      <c r="D1237" s="1" t="s">
        <v>214</v>
      </c>
      <c r="E1237" s="1" t="s">
        <v>124</v>
      </c>
      <c r="F1237" s="1" t="s">
        <v>215</v>
      </c>
      <c r="G1237" s="1" t="s">
        <v>244</v>
      </c>
      <c r="H1237" s="1" t="s">
        <v>234</v>
      </c>
      <c r="I1237" s="1">
        <v>4</v>
      </c>
      <c r="J1237" s="1">
        <v>18784</v>
      </c>
      <c r="K1237" s="1">
        <v>67622.399999999994</v>
      </c>
      <c r="L1237" s="1" t="s">
        <v>240</v>
      </c>
      <c r="M1237" s="1">
        <v>10</v>
      </c>
      <c r="N1237" s="1">
        <v>13485.69</v>
      </c>
    </row>
    <row r="1238" spans="1:14" x14ac:dyDescent="0.25">
      <c r="A1238" s="1">
        <v>2237</v>
      </c>
      <c r="B1238" s="1" t="s">
        <v>593</v>
      </c>
      <c r="C1238" s="1" t="s">
        <v>219</v>
      </c>
      <c r="D1238" s="1" t="s">
        <v>232</v>
      </c>
      <c r="E1238" s="1" t="s">
        <v>233</v>
      </c>
      <c r="F1238" s="1" t="s">
        <v>215</v>
      </c>
      <c r="G1238" s="1" t="s">
        <v>244</v>
      </c>
      <c r="H1238" s="1" t="s">
        <v>234</v>
      </c>
      <c r="I1238" s="1">
        <v>3</v>
      </c>
      <c r="J1238" s="1">
        <v>44533</v>
      </c>
      <c r="K1238" s="1">
        <v>120239.1</v>
      </c>
      <c r="L1238" s="1" t="s">
        <v>227</v>
      </c>
      <c r="M1238" s="1">
        <v>10</v>
      </c>
      <c r="N1238" s="1">
        <v>26373.43</v>
      </c>
    </row>
    <row r="1239" spans="1:14" x14ac:dyDescent="0.25">
      <c r="A1239" s="1">
        <v>2238</v>
      </c>
      <c r="B1239" s="1" t="s">
        <v>594</v>
      </c>
      <c r="C1239" s="1" t="s">
        <v>229</v>
      </c>
      <c r="D1239" s="1" t="s">
        <v>220</v>
      </c>
      <c r="E1239" s="1" t="s">
        <v>85</v>
      </c>
      <c r="F1239" s="1" t="s">
        <v>230</v>
      </c>
      <c r="G1239" s="1" t="s">
        <v>231</v>
      </c>
      <c r="H1239" s="1" t="s">
        <v>217</v>
      </c>
      <c r="I1239" s="1">
        <v>1</v>
      </c>
      <c r="J1239" s="1">
        <v>23775</v>
      </c>
      <c r="K1239" s="1">
        <v>20208.75</v>
      </c>
      <c r="L1239" s="1" t="s">
        <v>218</v>
      </c>
      <c r="M1239" s="1">
        <v>15</v>
      </c>
      <c r="N1239" s="1">
        <v>3171.95</v>
      </c>
    </row>
    <row r="1240" spans="1:14" x14ac:dyDescent="0.25">
      <c r="A1240" s="1">
        <v>2239</v>
      </c>
      <c r="B1240" s="1" t="s">
        <v>594</v>
      </c>
      <c r="C1240" s="1" t="s">
        <v>239</v>
      </c>
      <c r="D1240" s="1" t="s">
        <v>224</v>
      </c>
      <c r="E1240" s="1" t="s">
        <v>233</v>
      </c>
      <c r="F1240" s="1" t="s">
        <v>230</v>
      </c>
      <c r="G1240" s="1" t="s">
        <v>242</v>
      </c>
      <c r="H1240" s="1" t="s">
        <v>221</v>
      </c>
      <c r="I1240" s="1">
        <v>1</v>
      </c>
      <c r="J1240" s="1">
        <v>24369</v>
      </c>
      <c r="K1240" s="1">
        <v>20713.650000000001</v>
      </c>
      <c r="L1240" s="1" t="s">
        <v>222</v>
      </c>
      <c r="M1240" s="1">
        <v>15</v>
      </c>
      <c r="N1240" s="1">
        <v>4461.91</v>
      </c>
    </row>
    <row r="1241" spans="1:14" x14ac:dyDescent="0.25">
      <c r="A1241" s="1">
        <v>2240</v>
      </c>
      <c r="B1241" s="1" t="s">
        <v>594</v>
      </c>
      <c r="C1241" s="1" t="s">
        <v>213</v>
      </c>
      <c r="D1241" s="1" t="s">
        <v>245</v>
      </c>
      <c r="E1241" s="1" t="s">
        <v>124</v>
      </c>
      <c r="F1241" s="1" t="s">
        <v>230</v>
      </c>
      <c r="G1241" s="1" t="s">
        <v>241</v>
      </c>
      <c r="H1241" s="1" t="s">
        <v>217</v>
      </c>
      <c r="I1241" s="1">
        <v>3</v>
      </c>
      <c r="J1241" s="1">
        <v>40957</v>
      </c>
      <c r="K1241" s="1">
        <v>110583.9</v>
      </c>
      <c r="L1241" s="1" t="s">
        <v>227</v>
      </c>
      <c r="M1241" s="1">
        <v>10</v>
      </c>
      <c r="N1241" s="1">
        <v>13832.84</v>
      </c>
    </row>
    <row r="1242" spans="1:14" x14ac:dyDescent="0.25">
      <c r="A1242" s="1">
        <v>2241</v>
      </c>
      <c r="B1242" s="1" t="s">
        <v>594</v>
      </c>
      <c r="C1242" s="1" t="s">
        <v>223</v>
      </c>
      <c r="D1242" s="1" t="s">
        <v>232</v>
      </c>
      <c r="E1242" s="1" t="s">
        <v>233</v>
      </c>
      <c r="F1242" s="1" t="s">
        <v>225</v>
      </c>
      <c r="G1242" s="1" t="s">
        <v>248</v>
      </c>
      <c r="H1242" s="1" t="s">
        <v>221</v>
      </c>
      <c r="I1242" s="1">
        <v>5</v>
      </c>
      <c r="J1242" s="1">
        <v>35538</v>
      </c>
      <c r="K1242" s="1">
        <v>168805.5</v>
      </c>
      <c r="L1242" s="1" t="s">
        <v>218</v>
      </c>
      <c r="M1242" s="1">
        <v>5</v>
      </c>
      <c r="N1242" s="1">
        <v>40305.160000000003</v>
      </c>
    </row>
    <row r="1243" spans="1:14" x14ac:dyDescent="0.25">
      <c r="A1243" s="1">
        <v>2242</v>
      </c>
      <c r="B1243" s="1" t="s">
        <v>595</v>
      </c>
      <c r="C1243" s="1" t="s">
        <v>239</v>
      </c>
      <c r="D1243" s="1" t="s">
        <v>214</v>
      </c>
      <c r="E1243" s="1" t="s">
        <v>124</v>
      </c>
      <c r="F1243" s="1" t="s">
        <v>215</v>
      </c>
      <c r="G1243" s="1" t="s">
        <v>216</v>
      </c>
      <c r="H1243" s="1" t="s">
        <v>217</v>
      </c>
      <c r="I1243" s="1">
        <v>5</v>
      </c>
      <c r="J1243" s="1">
        <v>2543</v>
      </c>
      <c r="K1243" s="1">
        <v>12715</v>
      </c>
      <c r="L1243" s="1" t="s">
        <v>218</v>
      </c>
      <c r="M1243" s="1">
        <v>0</v>
      </c>
      <c r="N1243" s="1">
        <v>3336.37</v>
      </c>
    </row>
    <row r="1244" spans="1:14" x14ac:dyDescent="0.25">
      <c r="A1244" s="1">
        <v>2243</v>
      </c>
      <c r="B1244" s="1" t="s">
        <v>595</v>
      </c>
      <c r="C1244" s="1" t="s">
        <v>229</v>
      </c>
      <c r="D1244" s="1" t="s">
        <v>214</v>
      </c>
      <c r="E1244" s="1" t="s">
        <v>124</v>
      </c>
      <c r="F1244" s="1" t="s">
        <v>225</v>
      </c>
      <c r="G1244" s="1" t="s">
        <v>226</v>
      </c>
      <c r="H1244" s="1" t="s">
        <v>217</v>
      </c>
      <c r="I1244" s="1">
        <v>4</v>
      </c>
      <c r="J1244" s="1">
        <v>45386</v>
      </c>
      <c r="K1244" s="1">
        <v>172466.8</v>
      </c>
      <c r="L1244" s="1" t="s">
        <v>240</v>
      </c>
      <c r="M1244" s="1">
        <v>5</v>
      </c>
      <c r="N1244" s="1">
        <v>26093.03</v>
      </c>
    </row>
    <row r="1245" spans="1:14" x14ac:dyDescent="0.25">
      <c r="A1245" s="1">
        <v>2244</v>
      </c>
      <c r="B1245" s="1" t="s">
        <v>596</v>
      </c>
      <c r="C1245" s="1" t="s">
        <v>213</v>
      </c>
      <c r="D1245" s="1" t="s">
        <v>232</v>
      </c>
      <c r="E1245" s="1" t="s">
        <v>233</v>
      </c>
      <c r="F1245" s="1" t="s">
        <v>225</v>
      </c>
      <c r="G1245" s="1" t="s">
        <v>248</v>
      </c>
      <c r="H1245" s="1" t="s">
        <v>128</v>
      </c>
      <c r="I1245" s="1">
        <v>4</v>
      </c>
      <c r="J1245" s="1">
        <v>4449</v>
      </c>
      <c r="K1245" s="1">
        <v>16016.4</v>
      </c>
      <c r="L1245" s="1" t="s">
        <v>240</v>
      </c>
      <c r="M1245" s="1">
        <v>10</v>
      </c>
      <c r="N1245" s="1">
        <v>4103.9399999999996</v>
      </c>
    </row>
    <row r="1246" spans="1:14" x14ac:dyDescent="0.25">
      <c r="A1246" s="1">
        <v>2245</v>
      </c>
      <c r="B1246" s="1" t="s">
        <v>596</v>
      </c>
      <c r="C1246" s="1" t="s">
        <v>213</v>
      </c>
      <c r="D1246" s="1" t="s">
        <v>220</v>
      </c>
      <c r="E1246" s="1" t="s">
        <v>85</v>
      </c>
      <c r="F1246" s="1" t="s">
        <v>225</v>
      </c>
      <c r="G1246" s="1" t="s">
        <v>226</v>
      </c>
      <c r="H1246" s="1" t="s">
        <v>128</v>
      </c>
      <c r="I1246" s="1">
        <v>5</v>
      </c>
      <c r="J1246" s="1">
        <v>8409</v>
      </c>
      <c r="K1246" s="1">
        <v>42045</v>
      </c>
      <c r="L1246" s="1" t="s">
        <v>222</v>
      </c>
      <c r="M1246" s="1">
        <v>0</v>
      </c>
      <c r="N1246" s="1">
        <v>10138.58</v>
      </c>
    </row>
    <row r="1247" spans="1:14" x14ac:dyDescent="0.25">
      <c r="A1247" s="1">
        <v>2246</v>
      </c>
      <c r="B1247" s="1" t="s">
        <v>596</v>
      </c>
      <c r="C1247" s="1" t="s">
        <v>223</v>
      </c>
      <c r="D1247" s="1" t="s">
        <v>245</v>
      </c>
      <c r="E1247" s="1" t="s">
        <v>124</v>
      </c>
      <c r="F1247" s="1" t="s">
        <v>215</v>
      </c>
      <c r="G1247" s="1" t="s">
        <v>216</v>
      </c>
      <c r="H1247" s="1" t="s">
        <v>234</v>
      </c>
      <c r="I1247" s="1">
        <v>5</v>
      </c>
      <c r="J1247" s="1">
        <v>22967</v>
      </c>
      <c r="K1247" s="1">
        <v>114835</v>
      </c>
      <c r="L1247" s="1" t="s">
        <v>218</v>
      </c>
      <c r="M1247" s="1">
        <v>0</v>
      </c>
      <c r="N1247" s="1">
        <v>22631.599999999999</v>
      </c>
    </row>
    <row r="1248" spans="1:14" x14ac:dyDescent="0.25">
      <c r="A1248" s="1">
        <v>2247</v>
      </c>
      <c r="B1248" s="1" t="s">
        <v>596</v>
      </c>
      <c r="C1248" s="1" t="s">
        <v>239</v>
      </c>
      <c r="D1248" s="1" t="s">
        <v>245</v>
      </c>
      <c r="E1248" s="1" t="s">
        <v>124</v>
      </c>
      <c r="F1248" s="1" t="s">
        <v>230</v>
      </c>
      <c r="G1248" s="1" t="s">
        <v>241</v>
      </c>
      <c r="H1248" s="1" t="s">
        <v>234</v>
      </c>
      <c r="I1248" s="1">
        <v>4</v>
      </c>
      <c r="J1248" s="1">
        <v>16623</v>
      </c>
      <c r="K1248" s="1">
        <v>63167.4</v>
      </c>
      <c r="L1248" s="1" t="s">
        <v>227</v>
      </c>
      <c r="M1248" s="1">
        <v>5</v>
      </c>
      <c r="N1248" s="1">
        <v>17111.18</v>
      </c>
    </row>
    <row r="1249" spans="1:14" x14ac:dyDescent="0.25">
      <c r="A1249" s="1">
        <v>2248</v>
      </c>
      <c r="B1249" s="1" t="s">
        <v>597</v>
      </c>
      <c r="C1249" s="1" t="s">
        <v>239</v>
      </c>
      <c r="D1249" s="1" t="s">
        <v>232</v>
      </c>
      <c r="E1249" s="1" t="s">
        <v>233</v>
      </c>
      <c r="F1249" s="1" t="s">
        <v>215</v>
      </c>
      <c r="G1249" s="1" t="s">
        <v>216</v>
      </c>
      <c r="H1249" s="1" t="s">
        <v>128</v>
      </c>
      <c r="I1249" s="1">
        <v>3</v>
      </c>
      <c r="J1249" s="1">
        <v>44666</v>
      </c>
      <c r="K1249" s="1">
        <v>133998</v>
      </c>
      <c r="L1249" s="1" t="s">
        <v>222</v>
      </c>
      <c r="M1249" s="1">
        <v>0</v>
      </c>
      <c r="N1249" s="1">
        <v>18587.78</v>
      </c>
    </row>
    <row r="1250" spans="1:14" x14ac:dyDescent="0.25">
      <c r="A1250" s="1">
        <v>2249</v>
      </c>
      <c r="B1250" s="1" t="s">
        <v>597</v>
      </c>
      <c r="C1250" s="1" t="s">
        <v>213</v>
      </c>
      <c r="D1250" s="1" t="s">
        <v>220</v>
      </c>
      <c r="E1250" s="1" t="s">
        <v>85</v>
      </c>
      <c r="F1250" s="1" t="s">
        <v>225</v>
      </c>
      <c r="G1250" s="1" t="s">
        <v>226</v>
      </c>
      <c r="H1250" s="1" t="s">
        <v>217</v>
      </c>
      <c r="I1250" s="1">
        <v>4</v>
      </c>
      <c r="J1250" s="1">
        <v>43582</v>
      </c>
      <c r="K1250" s="1">
        <v>148178.79999999999</v>
      </c>
      <c r="L1250" s="1" t="s">
        <v>218</v>
      </c>
      <c r="M1250" s="1">
        <v>15</v>
      </c>
      <c r="N1250" s="1">
        <v>29254.080000000002</v>
      </c>
    </row>
    <row r="1251" spans="1:14" x14ac:dyDescent="0.25">
      <c r="A1251" s="1">
        <v>2250</v>
      </c>
      <c r="B1251" s="1" t="s">
        <v>597</v>
      </c>
      <c r="C1251" s="1" t="s">
        <v>223</v>
      </c>
      <c r="D1251" s="1" t="s">
        <v>214</v>
      </c>
      <c r="E1251" s="1" t="s">
        <v>124</v>
      </c>
      <c r="F1251" s="1" t="s">
        <v>215</v>
      </c>
      <c r="G1251" s="1" t="s">
        <v>246</v>
      </c>
      <c r="H1251" s="1" t="s">
        <v>128</v>
      </c>
      <c r="I1251" s="1">
        <v>1</v>
      </c>
      <c r="J1251" s="1">
        <v>8488</v>
      </c>
      <c r="K1251" s="1">
        <v>7639.2</v>
      </c>
      <c r="L1251" s="1" t="s">
        <v>222</v>
      </c>
      <c r="M1251" s="1">
        <v>10</v>
      </c>
      <c r="N1251" s="1">
        <v>1138.93</v>
      </c>
    </row>
    <row r="1252" spans="1:14" x14ac:dyDescent="0.25">
      <c r="A1252" s="1">
        <v>2251</v>
      </c>
      <c r="B1252" s="1" t="s">
        <v>597</v>
      </c>
      <c r="C1252" s="1" t="s">
        <v>229</v>
      </c>
      <c r="D1252" s="1" t="s">
        <v>232</v>
      </c>
      <c r="E1252" s="1" t="s">
        <v>233</v>
      </c>
      <c r="F1252" s="1" t="s">
        <v>225</v>
      </c>
      <c r="G1252" s="1" t="s">
        <v>236</v>
      </c>
      <c r="H1252" s="1" t="s">
        <v>234</v>
      </c>
      <c r="I1252" s="1">
        <v>2</v>
      </c>
      <c r="J1252" s="1">
        <v>6365</v>
      </c>
      <c r="K1252" s="1">
        <v>12730</v>
      </c>
      <c r="L1252" s="1" t="s">
        <v>218</v>
      </c>
      <c r="M1252" s="1">
        <v>0</v>
      </c>
      <c r="N1252" s="1">
        <v>3744.63</v>
      </c>
    </row>
    <row r="1253" spans="1:14" x14ac:dyDescent="0.25">
      <c r="A1253" s="1">
        <v>2252</v>
      </c>
      <c r="B1253" s="1" t="s">
        <v>597</v>
      </c>
      <c r="C1253" s="1" t="s">
        <v>213</v>
      </c>
      <c r="D1253" s="1" t="s">
        <v>224</v>
      </c>
      <c r="E1253" s="1" t="s">
        <v>233</v>
      </c>
      <c r="F1253" s="1" t="s">
        <v>225</v>
      </c>
      <c r="G1253" s="1" t="s">
        <v>248</v>
      </c>
      <c r="H1253" s="1" t="s">
        <v>221</v>
      </c>
      <c r="I1253" s="1">
        <v>4</v>
      </c>
      <c r="J1253" s="1">
        <v>39879</v>
      </c>
      <c r="K1253" s="1">
        <v>151540.20000000001</v>
      </c>
      <c r="L1253" s="1" t="s">
        <v>218</v>
      </c>
      <c r="M1253" s="1">
        <v>5</v>
      </c>
      <c r="N1253" s="1">
        <v>42246.28</v>
      </c>
    </row>
    <row r="1254" spans="1:14" x14ac:dyDescent="0.25">
      <c r="A1254" s="1">
        <v>2253</v>
      </c>
      <c r="B1254" s="1" t="s">
        <v>598</v>
      </c>
      <c r="C1254" s="1" t="s">
        <v>223</v>
      </c>
      <c r="D1254" s="1" t="s">
        <v>245</v>
      </c>
      <c r="E1254" s="1" t="s">
        <v>124</v>
      </c>
      <c r="F1254" s="1" t="s">
        <v>230</v>
      </c>
      <c r="G1254" s="1" t="s">
        <v>231</v>
      </c>
      <c r="H1254" s="1" t="s">
        <v>217</v>
      </c>
      <c r="I1254" s="1">
        <v>4</v>
      </c>
      <c r="J1254" s="1">
        <v>49231</v>
      </c>
      <c r="K1254" s="1">
        <v>187077.8</v>
      </c>
      <c r="L1254" s="1" t="s">
        <v>222</v>
      </c>
      <c r="M1254" s="1">
        <v>5</v>
      </c>
      <c r="N1254" s="1">
        <v>28695.4</v>
      </c>
    </row>
    <row r="1255" spans="1:14" x14ac:dyDescent="0.25">
      <c r="A1255" s="1">
        <v>2254</v>
      </c>
      <c r="B1255" s="1" t="s">
        <v>598</v>
      </c>
      <c r="C1255" s="1" t="s">
        <v>223</v>
      </c>
      <c r="D1255" s="1" t="s">
        <v>245</v>
      </c>
      <c r="E1255" s="1" t="s">
        <v>124</v>
      </c>
      <c r="F1255" s="1" t="s">
        <v>225</v>
      </c>
      <c r="G1255" s="1" t="s">
        <v>236</v>
      </c>
      <c r="H1255" s="1" t="s">
        <v>217</v>
      </c>
      <c r="I1255" s="1">
        <v>1</v>
      </c>
      <c r="J1255" s="1">
        <v>35961</v>
      </c>
      <c r="K1255" s="1">
        <v>34162.949999999997</v>
      </c>
      <c r="L1255" s="1" t="s">
        <v>222</v>
      </c>
      <c r="M1255" s="1">
        <v>5</v>
      </c>
      <c r="N1255" s="1">
        <v>9964.9</v>
      </c>
    </row>
    <row r="1256" spans="1:14" x14ac:dyDescent="0.25">
      <c r="A1256" s="1">
        <v>2255</v>
      </c>
      <c r="B1256" s="1" t="s">
        <v>598</v>
      </c>
      <c r="C1256" s="1" t="s">
        <v>239</v>
      </c>
      <c r="D1256" s="1" t="s">
        <v>232</v>
      </c>
      <c r="E1256" s="1" t="s">
        <v>233</v>
      </c>
      <c r="F1256" s="1" t="s">
        <v>225</v>
      </c>
      <c r="G1256" s="1" t="s">
        <v>248</v>
      </c>
      <c r="H1256" s="1" t="s">
        <v>221</v>
      </c>
      <c r="I1256" s="1">
        <v>2</v>
      </c>
      <c r="J1256" s="1">
        <v>20850</v>
      </c>
      <c r="K1256" s="1">
        <v>37530</v>
      </c>
      <c r="L1256" s="1" t="s">
        <v>218</v>
      </c>
      <c r="M1256" s="1">
        <v>10</v>
      </c>
      <c r="N1256" s="1">
        <v>6625.84</v>
      </c>
    </row>
    <row r="1257" spans="1:14" x14ac:dyDescent="0.25">
      <c r="A1257" s="1">
        <v>2256</v>
      </c>
      <c r="B1257" s="1" t="s">
        <v>598</v>
      </c>
      <c r="C1257" s="1" t="s">
        <v>213</v>
      </c>
      <c r="D1257" s="1" t="s">
        <v>214</v>
      </c>
      <c r="E1257" s="1" t="s">
        <v>124</v>
      </c>
      <c r="F1257" s="1" t="s">
        <v>215</v>
      </c>
      <c r="G1257" s="1" t="s">
        <v>246</v>
      </c>
      <c r="H1257" s="1" t="s">
        <v>221</v>
      </c>
      <c r="I1257" s="1">
        <v>2</v>
      </c>
      <c r="J1257" s="1">
        <v>31202</v>
      </c>
      <c r="K1257" s="1">
        <v>62404</v>
      </c>
      <c r="L1257" s="1" t="s">
        <v>227</v>
      </c>
      <c r="M1257" s="1">
        <v>0</v>
      </c>
      <c r="N1257" s="1">
        <v>6718.72</v>
      </c>
    </row>
    <row r="1258" spans="1:14" x14ac:dyDescent="0.25">
      <c r="A1258" s="1">
        <v>2257</v>
      </c>
      <c r="B1258" s="1" t="s">
        <v>598</v>
      </c>
      <c r="C1258" s="1" t="s">
        <v>229</v>
      </c>
      <c r="D1258" s="1" t="s">
        <v>232</v>
      </c>
      <c r="E1258" s="1" t="s">
        <v>233</v>
      </c>
      <c r="F1258" s="1" t="s">
        <v>225</v>
      </c>
      <c r="G1258" s="1" t="s">
        <v>248</v>
      </c>
      <c r="H1258" s="1" t="s">
        <v>128</v>
      </c>
      <c r="I1258" s="1">
        <v>1</v>
      </c>
      <c r="J1258" s="1">
        <v>12169</v>
      </c>
      <c r="K1258" s="1">
        <v>10343.65</v>
      </c>
      <c r="L1258" s="1" t="s">
        <v>240</v>
      </c>
      <c r="M1258" s="1">
        <v>15</v>
      </c>
      <c r="N1258" s="1">
        <v>1767.74</v>
      </c>
    </row>
    <row r="1259" spans="1:14" x14ac:dyDescent="0.25">
      <c r="A1259" s="1">
        <v>2258</v>
      </c>
      <c r="B1259" s="1" t="s">
        <v>599</v>
      </c>
      <c r="C1259" s="1" t="s">
        <v>213</v>
      </c>
      <c r="D1259" s="1" t="s">
        <v>232</v>
      </c>
      <c r="E1259" s="1" t="s">
        <v>233</v>
      </c>
      <c r="F1259" s="1" t="s">
        <v>230</v>
      </c>
      <c r="G1259" s="1" t="s">
        <v>241</v>
      </c>
      <c r="H1259" s="1" t="s">
        <v>128</v>
      </c>
      <c r="I1259" s="1">
        <v>5</v>
      </c>
      <c r="J1259" s="1">
        <v>14855</v>
      </c>
      <c r="K1259" s="1">
        <v>74275</v>
      </c>
      <c r="L1259" s="1" t="s">
        <v>218</v>
      </c>
      <c r="M1259" s="1">
        <v>0</v>
      </c>
      <c r="N1259" s="1">
        <v>20626.259999999998</v>
      </c>
    </row>
    <row r="1260" spans="1:14" x14ac:dyDescent="0.25">
      <c r="A1260" s="1">
        <v>2259</v>
      </c>
      <c r="B1260" s="1" t="s">
        <v>599</v>
      </c>
      <c r="C1260" s="1" t="s">
        <v>229</v>
      </c>
      <c r="D1260" s="1" t="s">
        <v>220</v>
      </c>
      <c r="E1260" s="1" t="s">
        <v>85</v>
      </c>
      <c r="F1260" s="1" t="s">
        <v>215</v>
      </c>
      <c r="G1260" s="1" t="s">
        <v>246</v>
      </c>
      <c r="H1260" s="1" t="s">
        <v>234</v>
      </c>
      <c r="I1260" s="1">
        <v>4</v>
      </c>
      <c r="J1260" s="1">
        <v>25390</v>
      </c>
      <c r="K1260" s="1">
        <v>91404</v>
      </c>
      <c r="L1260" s="1" t="s">
        <v>227</v>
      </c>
      <c r="M1260" s="1">
        <v>10</v>
      </c>
      <c r="N1260" s="1">
        <v>26621.32</v>
      </c>
    </row>
    <row r="1261" spans="1:14" x14ac:dyDescent="0.25">
      <c r="A1261" s="1">
        <v>2260</v>
      </c>
      <c r="B1261" s="1" t="s">
        <v>599</v>
      </c>
      <c r="C1261" s="1" t="s">
        <v>213</v>
      </c>
      <c r="D1261" s="1" t="s">
        <v>232</v>
      </c>
      <c r="E1261" s="1" t="s">
        <v>233</v>
      </c>
      <c r="F1261" s="1" t="s">
        <v>215</v>
      </c>
      <c r="G1261" s="1" t="s">
        <v>244</v>
      </c>
      <c r="H1261" s="1" t="s">
        <v>128</v>
      </c>
      <c r="I1261" s="1">
        <v>2</v>
      </c>
      <c r="J1261" s="1">
        <v>46858</v>
      </c>
      <c r="K1261" s="1">
        <v>93716</v>
      </c>
      <c r="L1261" s="1" t="s">
        <v>227</v>
      </c>
      <c r="M1261" s="1">
        <v>0</v>
      </c>
      <c r="N1261" s="1">
        <v>14168.64</v>
      </c>
    </row>
    <row r="1262" spans="1:14" x14ac:dyDescent="0.25">
      <c r="A1262" s="1">
        <v>2261</v>
      </c>
      <c r="B1262" s="1" t="s">
        <v>599</v>
      </c>
      <c r="C1262" s="1" t="s">
        <v>219</v>
      </c>
      <c r="D1262" s="1" t="s">
        <v>220</v>
      </c>
      <c r="E1262" s="1" t="s">
        <v>85</v>
      </c>
      <c r="F1262" s="1" t="s">
        <v>225</v>
      </c>
      <c r="G1262" s="1" t="s">
        <v>236</v>
      </c>
      <c r="H1262" s="1" t="s">
        <v>234</v>
      </c>
      <c r="I1262" s="1">
        <v>4</v>
      </c>
      <c r="J1262" s="1">
        <v>1082</v>
      </c>
      <c r="K1262" s="1">
        <v>3895.2</v>
      </c>
      <c r="L1262" s="1" t="s">
        <v>240</v>
      </c>
      <c r="M1262" s="1">
        <v>10</v>
      </c>
      <c r="N1262" s="1">
        <v>782.26</v>
      </c>
    </row>
    <row r="1263" spans="1:14" x14ac:dyDescent="0.25">
      <c r="A1263" s="1">
        <v>2262</v>
      </c>
      <c r="B1263" s="1" t="s">
        <v>600</v>
      </c>
      <c r="C1263" s="1" t="s">
        <v>223</v>
      </c>
      <c r="D1263" s="1" t="s">
        <v>232</v>
      </c>
      <c r="E1263" s="1" t="s">
        <v>233</v>
      </c>
      <c r="F1263" s="1" t="s">
        <v>225</v>
      </c>
      <c r="G1263" s="1" t="s">
        <v>248</v>
      </c>
      <c r="H1263" s="1" t="s">
        <v>128</v>
      </c>
      <c r="I1263" s="1">
        <v>3</v>
      </c>
      <c r="J1263" s="1">
        <v>3381</v>
      </c>
      <c r="K1263" s="1">
        <v>9128.7000000000007</v>
      </c>
      <c r="L1263" s="1" t="s">
        <v>227</v>
      </c>
      <c r="M1263" s="1">
        <v>10</v>
      </c>
      <c r="N1263" s="1">
        <v>2561.75</v>
      </c>
    </row>
    <row r="1264" spans="1:14" x14ac:dyDescent="0.25">
      <c r="A1264" s="1">
        <v>2263</v>
      </c>
      <c r="B1264" s="1" t="s">
        <v>600</v>
      </c>
      <c r="C1264" s="1" t="s">
        <v>229</v>
      </c>
      <c r="D1264" s="1" t="s">
        <v>224</v>
      </c>
      <c r="E1264" s="1" t="s">
        <v>233</v>
      </c>
      <c r="F1264" s="1" t="s">
        <v>230</v>
      </c>
      <c r="G1264" s="1" t="s">
        <v>231</v>
      </c>
      <c r="H1264" s="1" t="s">
        <v>128</v>
      </c>
      <c r="I1264" s="1">
        <v>4</v>
      </c>
      <c r="J1264" s="1">
        <v>12658</v>
      </c>
      <c r="K1264" s="1">
        <v>45568.800000000003</v>
      </c>
      <c r="L1264" s="1" t="s">
        <v>227</v>
      </c>
      <c r="M1264" s="1">
        <v>10</v>
      </c>
      <c r="N1264" s="1">
        <v>10985.91</v>
      </c>
    </row>
    <row r="1265" spans="1:14" x14ac:dyDescent="0.25">
      <c r="A1265" s="1">
        <v>2264</v>
      </c>
      <c r="B1265" s="1" t="s">
        <v>600</v>
      </c>
      <c r="C1265" s="1" t="s">
        <v>213</v>
      </c>
      <c r="D1265" s="1" t="s">
        <v>224</v>
      </c>
      <c r="E1265" s="1" t="s">
        <v>233</v>
      </c>
      <c r="F1265" s="1" t="s">
        <v>225</v>
      </c>
      <c r="G1265" s="1" t="s">
        <v>248</v>
      </c>
      <c r="H1265" s="1" t="s">
        <v>234</v>
      </c>
      <c r="I1265" s="1">
        <v>1</v>
      </c>
      <c r="J1265" s="1">
        <v>7986</v>
      </c>
      <c r="K1265" s="1">
        <v>7187.4</v>
      </c>
      <c r="L1265" s="1" t="s">
        <v>240</v>
      </c>
      <c r="M1265" s="1">
        <v>10</v>
      </c>
      <c r="N1265" s="1">
        <v>2131.87</v>
      </c>
    </row>
    <row r="1266" spans="1:14" x14ac:dyDescent="0.25">
      <c r="A1266" s="1">
        <v>2265</v>
      </c>
      <c r="B1266" s="1" t="s">
        <v>600</v>
      </c>
      <c r="C1266" s="1" t="s">
        <v>213</v>
      </c>
      <c r="D1266" s="1" t="s">
        <v>220</v>
      </c>
      <c r="E1266" s="1" t="s">
        <v>85</v>
      </c>
      <c r="F1266" s="1" t="s">
        <v>230</v>
      </c>
      <c r="G1266" s="1" t="s">
        <v>231</v>
      </c>
      <c r="H1266" s="1" t="s">
        <v>234</v>
      </c>
      <c r="I1266" s="1">
        <v>1</v>
      </c>
      <c r="J1266" s="1">
        <v>30618</v>
      </c>
      <c r="K1266" s="1">
        <v>29087.1</v>
      </c>
      <c r="L1266" s="1" t="s">
        <v>222</v>
      </c>
      <c r="M1266" s="1">
        <v>5</v>
      </c>
      <c r="N1266" s="1">
        <v>7161.94</v>
      </c>
    </row>
    <row r="1267" spans="1:14" x14ac:dyDescent="0.25">
      <c r="A1267" s="1">
        <v>2266</v>
      </c>
      <c r="B1267" s="1" t="s">
        <v>600</v>
      </c>
      <c r="C1267" s="1" t="s">
        <v>213</v>
      </c>
      <c r="D1267" s="1" t="s">
        <v>224</v>
      </c>
      <c r="E1267" s="1" t="s">
        <v>233</v>
      </c>
      <c r="F1267" s="1" t="s">
        <v>215</v>
      </c>
      <c r="G1267" s="1" t="s">
        <v>244</v>
      </c>
      <c r="H1267" s="1" t="s">
        <v>234</v>
      </c>
      <c r="I1267" s="1">
        <v>5</v>
      </c>
      <c r="J1267" s="1">
        <v>38328</v>
      </c>
      <c r="K1267" s="1">
        <v>182058</v>
      </c>
      <c r="L1267" s="1" t="s">
        <v>240</v>
      </c>
      <c r="M1267" s="1">
        <v>5</v>
      </c>
      <c r="N1267" s="1">
        <v>28787.25</v>
      </c>
    </row>
    <row r="1268" spans="1:14" x14ac:dyDescent="0.25">
      <c r="A1268" s="1">
        <v>2267</v>
      </c>
      <c r="B1268" s="1" t="s">
        <v>601</v>
      </c>
      <c r="C1268" s="1" t="s">
        <v>213</v>
      </c>
      <c r="D1268" s="1" t="s">
        <v>232</v>
      </c>
      <c r="E1268" s="1" t="s">
        <v>233</v>
      </c>
      <c r="F1268" s="1" t="s">
        <v>215</v>
      </c>
      <c r="G1268" s="1" t="s">
        <v>216</v>
      </c>
      <c r="H1268" s="1" t="s">
        <v>128</v>
      </c>
      <c r="I1268" s="1">
        <v>1</v>
      </c>
      <c r="J1268" s="1">
        <v>40049</v>
      </c>
      <c r="K1268" s="1">
        <v>38046.550000000003</v>
      </c>
      <c r="L1268" s="1" t="s">
        <v>222</v>
      </c>
      <c r="M1268" s="1">
        <v>5</v>
      </c>
      <c r="N1268" s="1">
        <v>11316.38</v>
      </c>
    </row>
    <row r="1269" spans="1:14" x14ac:dyDescent="0.25">
      <c r="A1269" s="1">
        <v>2268</v>
      </c>
      <c r="B1269" s="1" t="s">
        <v>601</v>
      </c>
      <c r="C1269" s="1" t="s">
        <v>213</v>
      </c>
      <c r="D1269" s="1" t="s">
        <v>245</v>
      </c>
      <c r="E1269" s="1" t="s">
        <v>124</v>
      </c>
      <c r="F1269" s="1" t="s">
        <v>230</v>
      </c>
      <c r="G1269" s="1" t="s">
        <v>241</v>
      </c>
      <c r="H1269" s="1" t="s">
        <v>221</v>
      </c>
      <c r="I1269" s="1">
        <v>1</v>
      </c>
      <c r="J1269" s="1">
        <v>6693</v>
      </c>
      <c r="K1269" s="1">
        <v>6358.35</v>
      </c>
      <c r="L1269" s="1" t="s">
        <v>240</v>
      </c>
      <c r="M1269" s="1">
        <v>5</v>
      </c>
      <c r="N1269" s="1">
        <v>718.41</v>
      </c>
    </row>
    <row r="1270" spans="1:14" x14ac:dyDescent="0.25">
      <c r="A1270" s="1">
        <v>2269</v>
      </c>
      <c r="B1270" s="1" t="s">
        <v>601</v>
      </c>
      <c r="C1270" s="1" t="s">
        <v>223</v>
      </c>
      <c r="D1270" s="1" t="s">
        <v>232</v>
      </c>
      <c r="E1270" s="1" t="s">
        <v>233</v>
      </c>
      <c r="F1270" s="1" t="s">
        <v>225</v>
      </c>
      <c r="G1270" s="1" t="s">
        <v>226</v>
      </c>
      <c r="H1270" s="1" t="s">
        <v>221</v>
      </c>
      <c r="I1270" s="1">
        <v>4</v>
      </c>
      <c r="J1270" s="1">
        <v>1187</v>
      </c>
      <c r="K1270" s="1">
        <v>4035.8</v>
      </c>
      <c r="L1270" s="1" t="s">
        <v>240</v>
      </c>
      <c r="M1270" s="1">
        <v>15</v>
      </c>
      <c r="N1270" s="1">
        <v>1105.5</v>
      </c>
    </row>
    <row r="1271" spans="1:14" x14ac:dyDescent="0.25">
      <c r="A1271" s="1">
        <v>2270</v>
      </c>
      <c r="B1271" s="1" t="s">
        <v>601</v>
      </c>
      <c r="C1271" s="1" t="s">
        <v>229</v>
      </c>
      <c r="D1271" s="1" t="s">
        <v>232</v>
      </c>
      <c r="E1271" s="1" t="s">
        <v>233</v>
      </c>
      <c r="F1271" s="1" t="s">
        <v>215</v>
      </c>
      <c r="G1271" s="1" t="s">
        <v>216</v>
      </c>
      <c r="H1271" s="1" t="s">
        <v>128</v>
      </c>
      <c r="I1271" s="1">
        <v>4</v>
      </c>
      <c r="J1271" s="1">
        <v>30180</v>
      </c>
      <c r="K1271" s="1">
        <v>114684</v>
      </c>
      <c r="L1271" s="1" t="s">
        <v>240</v>
      </c>
      <c r="M1271" s="1">
        <v>5</v>
      </c>
      <c r="N1271" s="1">
        <v>22244.62</v>
      </c>
    </row>
    <row r="1272" spans="1:14" x14ac:dyDescent="0.25">
      <c r="A1272" s="1">
        <v>2271</v>
      </c>
      <c r="B1272" s="1" t="s">
        <v>602</v>
      </c>
      <c r="C1272" s="1" t="s">
        <v>229</v>
      </c>
      <c r="D1272" s="1" t="s">
        <v>245</v>
      </c>
      <c r="E1272" s="1" t="s">
        <v>124</v>
      </c>
      <c r="F1272" s="1" t="s">
        <v>230</v>
      </c>
      <c r="G1272" s="1" t="s">
        <v>242</v>
      </c>
      <c r="H1272" s="1" t="s">
        <v>234</v>
      </c>
      <c r="I1272" s="1">
        <v>1</v>
      </c>
      <c r="J1272" s="1">
        <v>19309</v>
      </c>
      <c r="K1272" s="1">
        <v>18343.55</v>
      </c>
      <c r="L1272" s="1" t="s">
        <v>240</v>
      </c>
      <c r="M1272" s="1">
        <v>5</v>
      </c>
      <c r="N1272" s="1">
        <v>2656.82</v>
      </c>
    </row>
    <row r="1273" spans="1:14" x14ac:dyDescent="0.25">
      <c r="A1273" s="1">
        <v>2272</v>
      </c>
      <c r="B1273" s="1" t="s">
        <v>602</v>
      </c>
      <c r="C1273" s="1" t="s">
        <v>223</v>
      </c>
      <c r="D1273" s="1" t="s">
        <v>214</v>
      </c>
      <c r="E1273" s="1" t="s">
        <v>124</v>
      </c>
      <c r="F1273" s="1" t="s">
        <v>225</v>
      </c>
      <c r="G1273" s="1" t="s">
        <v>236</v>
      </c>
      <c r="H1273" s="1" t="s">
        <v>128</v>
      </c>
      <c r="I1273" s="1">
        <v>1</v>
      </c>
      <c r="J1273" s="1">
        <v>38105</v>
      </c>
      <c r="K1273" s="1">
        <v>36199.75</v>
      </c>
      <c r="L1273" s="1" t="s">
        <v>222</v>
      </c>
      <c r="M1273" s="1">
        <v>5</v>
      </c>
      <c r="N1273" s="1">
        <v>10749.61</v>
      </c>
    </row>
    <row r="1274" spans="1:14" x14ac:dyDescent="0.25">
      <c r="A1274" s="1">
        <v>2273</v>
      </c>
      <c r="B1274" s="1" t="s">
        <v>603</v>
      </c>
      <c r="C1274" s="1" t="s">
        <v>229</v>
      </c>
      <c r="D1274" s="1" t="s">
        <v>214</v>
      </c>
      <c r="E1274" s="1" t="s">
        <v>124</v>
      </c>
      <c r="F1274" s="1" t="s">
        <v>225</v>
      </c>
      <c r="G1274" s="1" t="s">
        <v>226</v>
      </c>
      <c r="H1274" s="1" t="s">
        <v>128</v>
      </c>
      <c r="I1274" s="1">
        <v>5</v>
      </c>
      <c r="J1274" s="1">
        <v>1997</v>
      </c>
      <c r="K1274" s="1">
        <v>9985</v>
      </c>
      <c r="L1274" s="1" t="s">
        <v>222</v>
      </c>
      <c r="M1274" s="1">
        <v>0</v>
      </c>
      <c r="N1274" s="1">
        <v>2734.7</v>
      </c>
    </row>
    <row r="1275" spans="1:14" x14ac:dyDescent="0.25">
      <c r="A1275" s="1">
        <v>2274</v>
      </c>
      <c r="B1275" s="1" t="s">
        <v>603</v>
      </c>
      <c r="C1275" s="1" t="s">
        <v>239</v>
      </c>
      <c r="D1275" s="1" t="s">
        <v>232</v>
      </c>
      <c r="E1275" s="1" t="s">
        <v>233</v>
      </c>
      <c r="F1275" s="1" t="s">
        <v>230</v>
      </c>
      <c r="G1275" s="1" t="s">
        <v>231</v>
      </c>
      <c r="H1275" s="1" t="s">
        <v>221</v>
      </c>
      <c r="I1275" s="1">
        <v>2</v>
      </c>
      <c r="J1275" s="1">
        <v>49389</v>
      </c>
      <c r="K1275" s="1">
        <v>98778</v>
      </c>
      <c r="L1275" s="1" t="s">
        <v>222</v>
      </c>
      <c r="M1275" s="1">
        <v>0</v>
      </c>
      <c r="N1275" s="1">
        <v>22219.31</v>
      </c>
    </row>
    <row r="1276" spans="1:14" x14ac:dyDescent="0.25">
      <c r="A1276" s="1">
        <v>2275</v>
      </c>
      <c r="B1276" s="1" t="s">
        <v>603</v>
      </c>
      <c r="C1276" s="1" t="s">
        <v>219</v>
      </c>
      <c r="D1276" s="1" t="s">
        <v>245</v>
      </c>
      <c r="E1276" s="1" t="s">
        <v>124</v>
      </c>
      <c r="F1276" s="1" t="s">
        <v>225</v>
      </c>
      <c r="G1276" s="1" t="s">
        <v>248</v>
      </c>
      <c r="H1276" s="1" t="s">
        <v>128</v>
      </c>
      <c r="I1276" s="1">
        <v>2</v>
      </c>
      <c r="J1276" s="1">
        <v>25126</v>
      </c>
      <c r="K1276" s="1">
        <v>45226.8</v>
      </c>
      <c r="L1276" s="1" t="s">
        <v>218</v>
      </c>
      <c r="M1276" s="1">
        <v>10</v>
      </c>
      <c r="N1276" s="1">
        <v>7633.16</v>
      </c>
    </row>
    <row r="1277" spans="1:14" x14ac:dyDescent="0.25">
      <c r="A1277" s="1">
        <v>2276</v>
      </c>
      <c r="B1277" s="1" t="s">
        <v>604</v>
      </c>
      <c r="C1277" s="1" t="s">
        <v>223</v>
      </c>
      <c r="D1277" s="1" t="s">
        <v>232</v>
      </c>
      <c r="E1277" s="1" t="s">
        <v>233</v>
      </c>
      <c r="F1277" s="1" t="s">
        <v>215</v>
      </c>
      <c r="G1277" s="1" t="s">
        <v>246</v>
      </c>
      <c r="H1277" s="1" t="s">
        <v>221</v>
      </c>
      <c r="I1277" s="1">
        <v>4</v>
      </c>
      <c r="J1277" s="1">
        <v>39081</v>
      </c>
      <c r="K1277" s="1">
        <v>140691.6</v>
      </c>
      <c r="L1277" s="1" t="s">
        <v>218</v>
      </c>
      <c r="M1277" s="1">
        <v>10</v>
      </c>
      <c r="N1277" s="1">
        <v>37303.99</v>
      </c>
    </row>
    <row r="1278" spans="1:14" x14ac:dyDescent="0.25">
      <c r="A1278" s="1">
        <v>2277</v>
      </c>
      <c r="B1278" s="1" t="s">
        <v>604</v>
      </c>
      <c r="C1278" s="1" t="s">
        <v>219</v>
      </c>
      <c r="D1278" s="1" t="s">
        <v>214</v>
      </c>
      <c r="E1278" s="1" t="s">
        <v>124</v>
      </c>
      <c r="F1278" s="1" t="s">
        <v>230</v>
      </c>
      <c r="G1278" s="1" t="s">
        <v>241</v>
      </c>
      <c r="H1278" s="1" t="s">
        <v>221</v>
      </c>
      <c r="I1278" s="1">
        <v>4</v>
      </c>
      <c r="J1278" s="1">
        <v>30215</v>
      </c>
      <c r="K1278" s="1">
        <v>114817</v>
      </c>
      <c r="L1278" s="1" t="s">
        <v>227</v>
      </c>
      <c r="M1278" s="1">
        <v>5</v>
      </c>
      <c r="N1278" s="1">
        <v>27711.4</v>
      </c>
    </row>
    <row r="1279" spans="1:14" x14ac:dyDescent="0.25">
      <c r="A1279" s="1">
        <v>2278</v>
      </c>
      <c r="B1279" s="1" t="s">
        <v>604</v>
      </c>
      <c r="C1279" s="1" t="s">
        <v>239</v>
      </c>
      <c r="D1279" s="1" t="s">
        <v>220</v>
      </c>
      <c r="E1279" s="1" t="s">
        <v>85</v>
      </c>
      <c r="F1279" s="1" t="s">
        <v>215</v>
      </c>
      <c r="G1279" s="1" t="s">
        <v>216</v>
      </c>
      <c r="H1279" s="1" t="s">
        <v>217</v>
      </c>
      <c r="I1279" s="1">
        <v>3</v>
      </c>
      <c r="J1279" s="1">
        <v>17527</v>
      </c>
      <c r="K1279" s="1">
        <v>52581</v>
      </c>
      <c r="L1279" s="1" t="s">
        <v>218</v>
      </c>
      <c r="M1279" s="1">
        <v>0</v>
      </c>
      <c r="N1279" s="1">
        <v>5366.85</v>
      </c>
    </row>
    <row r="1280" spans="1:14" x14ac:dyDescent="0.25">
      <c r="A1280" s="1">
        <v>2279</v>
      </c>
      <c r="B1280" s="1" t="s">
        <v>605</v>
      </c>
      <c r="C1280" s="1" t="s">
        <v>229</v>
      </c>
      <c r="D1280" s="1" t="s">
        <v>245</v>
      </c>
      <c r="E1280" s="1" t="s">
        <v>124</v>
      </c>
      <c r="F1280" s="1" t="s">
        <v>225</v>
      </c>
      <c r="G1280" s="1" t="s">
        <v>226</v>
      </c>
      <c r="H1280" s="1" t="s">
        <v>221</v>
      </c>
      <c r="I1280" s="1">
        <v>4</v>
      </c>
      <c r="J1280" s="1">
        <v>30684</v>
      </c>
      <c r="K1280" s="1">
        <v>116599.2</v>
      </c>
      <c r="L1280" s="1" t="s">
        <v>222</v>
      </c>
      <c r="M1280" s="1">
        <v>5</v>
      </c>
      <c r="N1280" s="1">
        <v>19348.43</v>
      </c>
    </row>
    <row r="1281" spans="1:14" x14ac:dyDescent="0.25">
      <c r="A1281" s="1">
        <v>2280</v>
      </c>
      <c r="B1281" s="1" t="s">
        <v>605</v>
      </c>
      <c r="C1281" s="1" t="s">
        <v>223</v>
      </c>
      <c r="D1281" s="1" t="s">
        <v>245</v>
      </c>
      <c r="E1281" s="1" t="s">
        <v>124</v>
      </c>
      <c r="F1281" s="1" t="s">
        <v>225</v>
      </c>
      <c r="G1281" s="1" t="s">
        <v>226</v>
      </c>
      <c r="H1281" s="1" t="s">
        <v>128</v>
      </c>
      <c r="I1281" s="1">
        <v>1</v>
      </c>
      <c r="J1281" s="1">
        <v>33591</v>
      </c>
      <c r="K1281" s="1">
        <v>28552.35</v>
      </c>
      <c r="L1281" s="1" t="s">
        <v>227</v>
      </c>
      <c r="M1281" s="1">
        <v>15</v>
      </c>
      <c r="N1281" s="1">
        <v>5081.7</v>
      </c>
    </row>
    <row r="1282" spans="1:14" x14ac:dyDescent="0.25">
      <c r="A1282" s="1">
        <v>2281</v>
      </c>
      <c r="B1282" s="1" t="s">
        <v>605</v>
      </c>
      <c r="C1282" s="1" t="s">
        <v>223</v>
      </c>
      <c r="D1282" s="1" t="s">
        <v>224</v>
      </c>
      <c r="E1282" s="1" t="s">
        <v>233</v>
      </c>
      <c r="F1282" s="1" t="s">
        <v>225</v>
      </c>
      <c r="G1282" s="1" t="s">
        <v>226</v>
      </c>
      <c r="H1282" s="1" t="s">
        <v>128</v>
      </c>
      <c r="I1282" s="1">
        <v>4</v>
      </c>
      <c r="J1282" s="1">
        <v>24545</v>
      </c>
      <c r="K1282" s="1">
        <v>83453</v>
      </c>
      <c r="L1282" s="1" t="s">
        <v>222</v>
      </c>
      <c r="M1282" s="1">
        <v>15</v>
      </c>
      <c r="N1282" s="1">
        <v>16215.37</v>
      </c>
    </row>
    <row r="1283" spans="1:14" x14ac:dyDescent="0.25">
      <c r="A1283" s="1">
        <v>2282</v>
      </c>
      <c r="B1283" s="1" t="s">
        <v>606</v>
      </c>
      <c r="C1283" s="1" t="s">
        <v>223</v>
      </c>
      <c r="D1283" s="1" t="s">
        <v>224</v>
      </c>
      <c r="E1283" s="1" t="s">
        <v>233</v>
      </c>
      <c r="F1283" s="1" t="s">
        <v>215</v>
      </c>
      <c r="G1283" s="1" t="s">
        <v>244</v>
      </c>
      <c r="H1283" s="1" t="s">
        <v>217</v>
      </c>
      <c r="I1283" s="1">
        <v>4</v>
      </c>
      <c r="J1283" s="1">
        <v>15870</v>
      </c>
      <c r="K1283" s="1">
        <v>53958</v>
      </c>
      <c r="L1283" s="1" t="s">
        <v>240</v>
      </c>
      <c r="M1283" s="1">
        <v>15</v>
      </c>
      <c r="N1283" s="1">
        <v>10034.58</v>
      </c>
    </row>
    <row r="1284" spans="1:14" x14ac:dyDescent="0.25">
      <c r="A1284" s="1">
        <v>2283</v>
      </c>
      <c r="B1284" s="1" t="s">
        <v>606</v>
      </c>
      <c r="C1284" s="1" t="s">
        <v>213</v>
      </c>
      <c r="D1284" s="1" t="s">
        <v>224</v>
      </c>
      <c r="E1284" s="1" t="s">
        <v>233</v>
      </c>
      <c r="F1284" s="1" t="s">
        <v>215</v>
      </c>
      <c r="G1284" s="1" t="s">
        <v>244</v>
      </c>
      <c r="H1284" s="1" t="s">
        <v>221</v>
      </c>
      <c r="I1284" s="1">
        <v>4</v>
      </c>
      <c r="J1284" s="1">
        <v>18463</v>
      </c>
      <c r="K1284" s="1">
        <v>73852</v>
      </c>
      <c r="L1284" s="1" t="s">
        <v>240</v>
      </c>
      <c r="M1284" s="1">
        <v>0</v>
      </c>
      <c r="N1284" s="1">
        <v>14000.34</v>
      </c>
    </row>
    <row r="1285" spans="1:14" x14ac:dyDescent="0.25">
      <c r="A1285" s="1">
        <v>2284</v>
      </c>
      <c r="B1285" s="1" t="s">
        <v>607</v>
      </c>
      <c r="C1285" s="1" t="s">
        <v>213</v>
      </c>
      <c r="D1285" s="1" t="s">
        <v>245</v>
      </c>
      <c r="E1285" s="1" t="s">
        <v>124</v>
      </c>
      <c r="F1285" s="1" t="s">
        <v>225</v>
      </c>
      <c r="G1285" s="1" t="s">
        <v>248</v>
      </c>
      <c r="H1285" s="1" t="s">
        <v>128</v>
      </c>
      <c r="I1285" s="1">
        <v>5</v>
      </c>
      <c r="J1285" s="1">
        <v>32679</v>
      </c>
      <c r="K1285" s="1">
        <v>147055.5</v>
      </c>
      <c r="L1285" s="1" t="s">
        <v>222</v>
      </c>
      <c r="M1285" s="1">
        <v>10</v>
      </c>
      <c r="N1285" s="1">
        <v>24359.56</v>
      </c>
    </row>
    <row r="1286" spans="1:14" x14ac:dyDescent="0.25">
      <c r="A1286" s="1">
        <v>2285</v>
      </c>
      <c r="B1286" s="1" t="s">
        <v>607</v>
      </c>
      <c r="C1286" s="1" t="s">
        <v>223</v>
      </c>
      <c r="D1286" s="1" t="s">
        <v>224</v>
      </c>
      <c r="E1286" s="1" t="s">
        <v>233</v>
      </c>
      <c r="F1286" s="1" t="s">
        <v>225</v>
      </c>
      <c r="G1286" s="1" t="s">
        <v>226</v>
      </c>
      <c r="H1286" s="1" t="s">
        <v>217</v>
      </c>
      <c r="I1286" s="1">
        <v>1</v>
      </c>
      <c r="J1286" s="1">
        <v>34582</v>
      </c>
      <c r="K1286" s="1">
        <v>34582</v>
      </c>
      <c r="L1286" s="1" t="s">
        <v>240</v>
      </c>
      <c r="M1286" s="1">
        <v>0</v>
      </c>
      <c r="N1286" s="1">
        <v>10143.77</v>
      </c>
    </row>
    <row r="1287" spans="1:14" x14ac:dyDescent="0.25">
      <c r="A1287" s="1">
        <v>2286</v>
      </c>
      <c r="B1287" s="1" t="s">
        <v>607</v>
      </c>
      <c r="C1287" s="1" t="s">
        <v>219</v>
      </c>
      <c r="D1287" s="1" t="s">
        <v>220</v>
      </c>
      <c r="E1287" s="1" t="s">
        <v>85</v>
      </c>
      <c r="F1287" s="1" t="s">
        <v>230</v>
      </c>
      <c r="G1287" s="1" t="s">
        <v>231</v>
      </c>
      <c r="H1287" s="1" t="s">
        <v>217</v>
      </c>
      <c r="I1287" s="1">
        <v>5</v>
      </c>
      <c r="J1287" s="1">
        <v>24418</v>
      </c>
      <c r="K1287" s="1">
        <v>109881</v>
      </c>
      <c r="L1287" s="1" t="s">
        <v>240</v>
      </c>
      <c r="M1287" s="1">
        <v>10</v>
      </c>
      <c r="N1287" s="1">
        <v>18524.650000000001</v>
      </c>
    </row>
    <row r="1288" spans="1:14" x14ac:dyDescent="0.25">
      <c r="A1288" s="1">
        <v>2287</v>
      </c>
      <c r="B1288" s="1" t="s">
        <v>607</v>
      </c>
      <c r="C1288" s="1" t="s">
        <v>229</v>
      </c>
      <c r="D1288" s="1" t="s">
        <v>245</v>
      </c>
      <c r="E1288" s="1" t="s">
        <v>124</v>
      </c>
      <c r="F1288" s="1" t="s">
        <v>215</v>
      </c>
      <c r="G1288" s="1" t="s">
        <v>244</v>
      </c>
      <c r="H1288" s="1" t="s">
        <v>234</v>
      </c>
      <c r="I1288" s="1">
        <v>3</v>
      </c>
      <c r="J1288" s="1">
        <v>24090</v>
      </c>
      <c r="K1288" s="1">
        <v>68656.5</v>
      </c>
      <c r="L1288" s="1" t="s">
        <v>227</v>
      </c>
      <c r="M1288" s="1">
        <v>5</v>
      </c>
      <c r="N1288" s="1">
        <v>19918.22</v>
      </c>
    </row>
  </sheetData>
  <conditionalFormatting sqref="A2:N1288">
    <cfRule type="expression" dxfId="0" priority="1">
      <formula>$D2="Delhi"</formula>
    </cfRule>
  </conditionalFormatting>
  <pageMargins left="0.7" right="0.7" top="0.75" bottom="0.75" header="0.3" footer="0.3"/>
  <pageSetup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1"/>
  <sheetViews>
    <sheetView workbookViewId="0">
      <selection activeCell="Q8" sqref="Q8"/>
    </sheetView>
  </sheetViews>
  <sheetFormatPr defaultRowHeight="15" x14ac:dyDescent="0.25"/>
  <cols>
    <col min="1" max="1" width="15" bestFit="1" customWidth="1"/>
    <col min="2" max="2" width="13.42578125" bestFit="1" customWidth="1"/>
    <col min="3" max="3" width="13" bestFit="1" customWidth="1"/>
    <col min="4" max="4" width="9.85546875" bestFit="1" customWidth="1"/>
    <col min="5" max="5" width="14" bestFit="1" customWidth="1"/>
    <col min="6" max="6" width="15.85546875" bestFit="1" customWidth="1"/>
    <col min="7" max="7" width="13.7109375" bestFit="1" customWidth="1"/>
    <col min="8" max="8" width="7" bestFit="1" customWidth="1"/>
    <col min="9" max="9" width="5.85546875" bestFit="1" customWidth="1"/>
    <col min="10" max="10" width="8.7109375" bestFit="1" customWidth="1"/>
    <col min="11" max="11" width="14.42578125" bestFit="1" customWidth="1"/>
    <col min="12" max="12" width="5.42578125" bestFit="1" customWidth="1"/>
    <col min="13" max="13" width="6.28515625" bestFit="1" customWidth="1"/>
    <col min="14" max="14" width="12.85546875" bestFit="1" customWidth="1"/>
    <col min="16" max="16" width="13.5703125" bestFit="1" customWidth="1"/>
  </cols>
  <sheetData>
    <row r="1" spans="1:16" x14ac:dyDescent="0.25">
      <c r="A1" t="s">
        <v>627</v>
      </c>
      <c r="B1" t="s">
        <v>628</v>
      </c>
      <c r="C1" t="s">
        <v>629</v>
      </c>
      <c r="D1" t="s">
        <v>138</v>
      </c>
      <c r="E1" t="s">
        <v>630</v>
      </c>
      <c r="F1" t="s">
        <v>631</v>
      </c>
      <c r="G1" t="s">
        <v>632</v>
      </c>
      <c r="H1" t="s">
        <v>633</v>
      </c>
      <c r="I1" t="s">
        <v>634</v>
      </c>
      <c r="J1" t="s">
        <v>635</v>
      </c>
      <c r="K1" t="s">
        <v>636</v>
      </c>
      <c r="L1" t="s">
        <v>637</v>
      </c>
      <c r="M1" t="s">
        <v>638</v>
      </c>
      <c r="N1" t="s">
        <v>639</v>
      </c>
    </row>
    <row r="2" spans="1:16" x14ac:dyDescent="0.25">
      <c r="A2">
        <v>1</v>
      </c>
      <c r="B2" t="s">
        <v>611</v>
      </c>
      <c r="C2" t="s">
        <v>640</v>
      </c>
      <c r="D2" t="s">
        <v>641</v>
      </c>
      <c r="E2" t="s">
        <v>642</v>
      </c>
      <c r="F2" t="s">
        <v>643</v>
      </c>
      <c r="G2">
        <v>58591</v>
      </c>
      <c r="H2">
        <v>11718</v>
      </c>
      <c r="I2">
        <v>5859</v>
      </c>
      <c r="J2">
        <v>3532</v>
      </c>
      <c r="K2">
        <v>79700</v>
      </c>
      <c r="L2">
        <v>7030</v>
      </c>
      <c r="M2">
        <v>7970</v>
      </c>
      <c r="N2">
        <v>64700</v>
      </c>
    </row>
    <row r="3" spans="1:16" x14ac:dyDescent="0.25">
      <c r="A3">
        <v>2</v>
      </c>
      <c r="B3" t="s">
        <v>644</v>
      </c>
      <c r="C3" t="s">
        <v>645</v>
      </c>
      <c r="D3" t="s">
        <v>646</v>
      </c>
      <c r="E3" t="s">
        <v>647</v>
      </c>
      <c r="F3" t="s">
        <v>648</v>
      </c>
      <c r="G3">
        <v>70205</v>
      </c>
      <c r="H3">
        <v>14041</v>
      </c>
      <c r="I3">
        <v>7020</v>
      </c>
      <c r="J3">
        <v>5973</v>
      </c>
      <c r="K3">
        <v>97239</v>
      </c>
      <c r="L3">
        <v>8424</v>
      </c>
      <c r="M3">
        <v>9723</v>
      </c>
      <c r="N3">
        <v>79092</v>
      </c>
      <c r="P3" s="54" t="s">
        <v>708</v>
      </c>
    </row>
    <row r="4" spans="1:16" x14ac:dyDescent="0.25">
      <c r="A4">
        <v>3</v>
      </c>
      <c r="B4" t="s">
        <v>649</v>
      </c>
      <c r="C4" t="s">
        <v>650</v>
      </c>
      <c r="D4" t="s">
        <v>646</v>
      </c>
      <c r="E4" t="s">
        <v>651</v>
      </c>
      <c r="F4" t="s">
        <v>652</v>
      </c>
      <c r="G4">
        <v>62004</v>
      </c>
      <c r="H4">
        <v>12400</v>
      </c>
      <c r="I4">
        <v>6200</v>
      </c>
      <c r="J4">
        <v>3965</v>
      </c>
      <c r="K4">
        <v>84569</v>
      </c>
      <c r="L4">
        <v>7440</v>
      </c>
      <c r="M4">
        <v>8456</v>
      </c>
      <c r="N4">
        <v>68673</v>
      </c>
      <c r="P4" s="54" t="s">
        <v>709</v>
      </c>
    </row>
    <row r="5" spans="1:16" x14ac:dyDescent="0.25">
      <c r="A5">
        <v>4</v>
      </c>
      <c r="B5" t="s">
        <v>653</v>
      </c>
      <c r="C5" t="s">
        <v>654</v>
      </c>
      <c r="D5" t="s">
        <v>641</v>
      </c>
      <c r="E5" t="s">
        <v>651</v>
      </c>
      <c r="F5" t="s">
        <v>655</v>
      </c>
      <c r="G5">
        <v>48337</v>
      </c>
      <c r="H5">
        <v>9667</v>
      </c>
      <c r="I5">
        <v>4833</v>
      </c>
      <c r="J5">
        <v>4065</v>
      </c>
      <c r="K5">
        <v>66902</v>
      </c>
      <c r="L5">
        <v>5800</v>
      </c>
      <c r="M5">
        <v>6690</v>
      </c>
      <c r="N5">
        <v>54412</v>
      </c>
    </row>
    <row r="6" spans="1:16" x14ac:dyDescent="0.25">
      <c r="A6">
        <v>5</v>
      </c>
      <c r="B6" t="s">
        <v>656</v>
      </c>
      <c r="C6" t="s">
        <v>657</v>
      </c>
      <c r="D6" t="s">
        <v>641</v>
      </c>
      <c r="E6" t="s">
        <v>119</v>
      </c>
      <c r="F6" t="s">
        <v>652</v>
      </c>
      <c r="G6">
        <v>68374</v>
      </c>
      <c r="H6">
        <v>13674</v>
      </c>
      <c r="I6">
        <v>6837</v>
      </c>
      <c r="J6">
        <v>7208</v>
      </c>
      <c r="K6">
        <v>96093</v>
      </c>
      <c r="L6">
        <v>8204</v>
      </c>
      <c r="M6">
        <v>9609</v>
      </c>
      <c r="N6">
        <v>78280</v>
      </c>
    </row>
    <row r="7" spans="1:16" x14ac:dyDescent="0.25">
      <c r="A7">
        <v>6</v>
      </c>
      <c r="B7" t="s">
        <v>658</v>
      </c>
      <c r="C7" t="s">
        <v>659</v>
      </c>
      <c r="D7" t="s">
        <v>641</v>
      </c>
      <c r="E7" t="s">
        <v>660</v>
      </c>
      <c r="F7" t="s">
        <v>661</v>
      </c>
      <c r="G7">
        <v>29057</v>
      </c>
      <c r="H7">
        <v>5811</v>
      </c>
      <c r="I7">
        <v>2905</v>
      </c>
      <c r="J7">
        <v>4753</v>
      </c>
      <c r="K7">
        <v>42526</v>
      </c>
      <c r="L7">
        <v>3486</v>
      </c>
      <c r="M7">
        <v>4252</v>
      </c>
      <c r="N7">
        <v>34788</v>
      </c>
    </row>
    <row r="8" spans="1:16" x14ac:dyDescent="0.25">
      <c r="A8">
        <v>7</v>
      </c>
      <c r="B8" t="s">
        <v>658</v>
      </c>
      <c r="C8" t="s">
        <v>662</v>
      </c>
      <c r="D8" t="s">
        <v>641</v>
      </c>
      <c r="E8" t="s">
        <v>119</v>
      </c>
      <c r="F8" t="s">
        <v>652</v>
      </c>
      <c r="G8">
        <v>29593</v>
      </c>
      <c r="H8">
        <v>5918</v>
      </c>
      <c r="I8">
        <v>2959</v>
      </c>
      <c r="J8">
        <v>9188</v>
      </c>
      <c r="K8">
        <v>47658</v>
      </c>
      <c r="L8">
        <v>3551</v>
      </c>
      <c r="M8">
        <v>4765</v>
      </c>
      <c r="N8">
        <v>39342</v>
      </c>
      <c r="P8" t="s">
        <v>808</v>
      </c>
    </row>
    <row r="9" spans="1:16" x14ac:dyDescent="0.25">
      <c r="A9">
        <v>8</v>
      </c>
      <c r="B9" t="s">
        <v>663</v>
      </c>
      <c r="C9" t="s">
        <v>664</v>
      </c>
      <c r="D9" t="s">
        <v>641</v>
      </c>
      <c r="E9" t="s">
        <v>119</v>
      </c>
      <c r="F9" t="s">
        <v>661</v>
      </c>
      <c r="G9">
        <v>75829</v>
      </c>
      <c r="H9">
        <v>15165</v>
      </c>
      <c r="I9">
        <v>7582</v>
      </c>
      <c r="J9">
        <v>9631</v>
      </c>
      <c r="K9">
        <v>108207</v>
      </c>
      <c r="L9">
        <v>9099</v>
      </c>
      <c r="M9">
        <v>10820</v>
      </c>
      <c r="N9">
        <v>88288</v>
      </c>
      <c r="P9" t="s">
        <v>660</v>
      </c>
    </row>
    <row r="10" spans="1:16" x14ac:dyDescent="0.25">
      <c r="A10">
        <v>9</v>
      </c>
      <c r="B10" t="s">
        <v>665</v>
      </c>
      <c r="C10" t="s">
        <v>666</v>
      </c>
      <c r="D10" t="s">
        <v>646</v>
      </c>
      <c r="E10" t="s">
        <v>660</v>
      </c>
      <c r="F10" t="s">
        <v>655</v>
      </c>
      <c r="G10">
        <v>52037</v>
      </c>
      <c r="H10">
        <v>10407</v>
      </c>
      <c r="I10">
        <v>5203</v>
      </c>
      <c r="J10">
        <v>4853</v>
      </c>
      <c r="K10">
        <v>72500</v>
      </c>
      <c r="L10">
        <v>6244</v>
      </c>
      <c r="M10">
        <v>7250</v>
      </c>
      <c r="N10">
        <v>59006</v>
      </c>
    </row>
    <row r="11" spans="1:16" x14ac:dyDescent="0.25">
      <c r="A11">
        <v>10</v>
      </c>
      <c r="B11" t="s">
        <v>128</v>
      </c>
      <c r="C11" t="s">
        <v>645</v>
      </c>
      <c r="D11" t="s">
        <v>641</v>
      </c>
      <c r="E11" t="s">
        <v>119</v>
      </c>
      <c r="F11" t="s">
        <v>117</v>
      </c>
      <c r="G11">
        <v>67435</v>
      </c>
      <c r="H11">
        <v>13487</v>
      </c>
      <c r="I11">
        <v>6743</v>
      </c>
      <c r="J11">
        <v>9563</v>
      </c>
      <c r="K11">
        <v>97228</v>
      </c>
      <c r="L11">
        <v>8092</v>
      </c>
      <c r="M11">
        <v>9722</v>
      </c>
      <c r="N11">
        <v>79414</v>
      </c>
    </row>
    <row r="12" spans="1:16" x14ac:dyDescent="0.25">
      <c r="A12">
        <v>11</v>
      </c>
      <c r="B12" t="s">
        <v>667</v>
      </c>
      <c r="C12" t="s">
        <v>645</v>
      </c>
      <c r="D12" t="s">
        <v>646</v>
      </c>
      <c r="E12" t="s">
        <v>660</v>
      </c>
      <c r="F12" t="s">
        <v>655</v>
      </c>
      <c r="G12">
        <v>52011</v>
      </c>
      <c r="H12">
        <v>10402</v>
      </c>
      <c r="I12">
        <v>5201</v>
      </c>
      <c r="J12">
        <v>4542</v>
      </c>
      <c r="K12">
        <v>72156</v>
      </c>
      <c r="L12">
        <v>6241</v>
      </c>
      <c r="M12">
        <v>7215</v>
      </c>
      <c r="N12">
        <v>58700</v>
      </c>
    </row>
    <row r="13" spans="1:16" x14ac:dyDescent="0.25">
      <c r="A13">
        <v>12</v>
      </c>
      <c r="B13" t="s">
        <v>668</v>
      </c>
      <c r="C13" t="s">
        <v>669</v>
      </c>
      <c r="D13" t="s">
        <v>641</v>
      </c>
      <c r="E13" t="s">
        <v>660</v>
      </c>
      <c r="F13" t="s">
        <v>661</v>
      </c>
      <c r="G13">
        <v>48524</v>
      </c>
      <c r="H13">
        <v>9704</v>
      </c>
      <c r="I13">
        <v>4852</v>
      </c>
      <c r="J13">
        <v>2310</v>
      </c>
      <c r="K13">
        <v>65390</v>
      </c>
      <c r="L13">
        <v>5822</v>
      </c>
      <c r="M13">
        <v>6539</v>
      </c>
      <c r="N13">
        <v>53029</v>
      </c>
    </row>
    <row r="14" spans="1:16" x14ac:dyDescent="0.25">
      <c r="A14">
        <v>13</v>
      </c>
      <c r="B14" t="s">
        <v>217</v>
      </c>
      <c r="C14" t="s">
        <v>640</v>
      </c>
      <c r="D14" t="s">
        <v>646</v>
      </c>
      <c r="E14" t="s">
        <v>642</v>
      </c>
      <c r="F14" t="s">
        <v>643</v>
      </c>
      <c r="G14">
        <v>24516</v>
      </c>
      <c r="H14">
        <v>4903</v>
      </c>
      <c r="I14">
        <v>2451</v>
      </c>
      <c r="J14">
        <v>3791</v>
      </c>
      <c r="K14">
        <v>35661</v>
      </c>
      <c r="L14">
        <v>2941</v>
      </c>
      <c r="M14">
        <v>3566</v>
      </c>
      <c r="N14">
        <v>29154</v>
      </c>
    </row>
    <row r="15" spans="1:16" x14ac:dyDescent="0.25">
      <c r="A15">
        <v>14</v>
      </c>
      <c r="B15" t="s">
        <v>670</v>
      </c>
      <c r="C15" t="s">
        <v>659</v>
      </c>
      <c r="D15" t="s">
        <v>641</v>
      </c>
      <c r="E15" t="s">
        <v>119</v>
      </c>
      <c r="F15" t="s">
        <v>661</v>
      </c>
      <c r="G15">
        <v>74084</v>
      </c>
      <c r="H15">
        <v>14816</v>
      </c>
      <c r="I15">
        <v>7408</v>
      </c>
      <c r="J15">
        <v>3612</v>
      </c>
      <c r="K15">
        <v>99920</v>
      </c>
      <c r="L15">
        <v>8890</v>
      </c>
      <c r="M15">
        <v>9992</v>
      </c>
      <c r="N15">
        <v>81038</v>
      </c>
    </row>
    <row r="16" spans="1:16" x14ac:dyDescent="0.25">
      <c r="A16">
        <v>15</v>
      </c>
      <c r="B16" t="s">
        <v>217</v>
      </c>
      <c r="C16" t="s">
        <v>671</v>
      </c>
      <c r="D16" t="s">
        <v>646</v>
      </c>
      <c r="E16" t="s">
        <v>642</v>
      </c>
      <c r="F16" t="s">
        <v>652</v>
      </c>
      <c r="G16">
        <v>54644</v>
      </c>
      <c r="H16">
        <v>10928</v>
      </c>
      <c r="I16">
        <v>5464</v>
      </c>
      <c r="J16">
        <v>2644</v>
      </c>
      <c r="K16">
        <v>73680</v>
      </c>
      <c r="L16">
        <v>6557</v>
      </c>
      <c r="M16">
        <v>7368</v>
      </c>
      <c r="N16">
        <v>59755</v>
      </c>
    </row>
    <row r="17" spans="1:14" x14ac:dyDescent="0.25">
      <c r="A17">
        <v>16</v>
      </c>
      <c r="B17" t="s">
        <v>670</v>
      </c>
      <c r="C17" t="s">
        <v>672</v>
      </c>
      <c r="D17" t="s">
        <v>641</v>
      </c>
      <c r="E17" t="s">
        <v>119</v>
      </c>
      <c r="F17" t="s">
        <v>661</v>
      </c>
      <c r="G17">
        <v>59401</v>
      </c>
      <c r="H17">
        <v>11880</v>
      </c>
      <c r="I17">
        <v>5940</v>
      </c>
      <c r="J17">
        <v>8652</v>
      </c>
      <c r="K17">
        <v>85873</v>
      </c>
      <c r="L17">
        <v>7128</v>
      </c>
      <c r="M17">
        <v>8587</v>
      </c>
      <c r="N17">
        <v>70158</v>
      </c>
    </row>
    <row r="18" spans="1:14" x14ac:dyDescent="0.25">
      <c r="A18">
        <v>17</v>
      </c>
      <c r="B18" t="s">
        <v>673</v>
      </c>
      <c r="C18" t="s">
        <v>666</v>
      </c>
      <c r="D18" t="s">
        <v>646</v>
      </c>
      <c r="E18" t="s">
        <v>674</v>
      </c>
      <c r="F18" t="s">
        <v>655</v>
      </c>
      <c r="G18">
        <v>75759</v>
      </c>
      <c r="H18">
        <v>15151</v>
      </c>
      <c r="I18">
        <v>7575</v>
      </c>
      <c r="J18">
        <v>7059</v>
      </c>
      <c r="K18">
        <v>105544</v>
      </c>
      <c r="L18">
        <v>9091</v>
      </c>
      <c r="M18">
        <v>10554</v>
      </c>
      <c r="N18">
        <v>85899</v>
      </c>
    </row>
    <row r="19" spans="1:14" x14ac:dyDescent="0.25">
      <c r="A19">
        <v>18</v>
      </c>
      <c r="B19" t="s">
        <v>675</v>
      </c>
      <c r="C19" t="s">
        <v>662</v>
      </c>
      <c r="D19" t="s">
        <v>646</v>
      </c>
      <c r="E19" t="s">
        <v>651</v>
      </c>
      <c r="F19" t="s">
        <v>661</v>
      </c>
      <c r="G19">
        <v>70505</v>
      </c>
      <c r="H19">
        <v>14101</v>
      </c>
      <c r="I19">
        <v>7050</v>
      </c>
      <c r="J19">
        <v>3430</v>
      </c>
      <c r="K19">
        <v>95086</v>
      </c>
      <c r="L19">
        <v>8460</v>
      </c>
      <c r="M19">
        <v>9508</v>
      </c>
      <c r="N19">
        <v>77118</v>
      </c>
    </row>
    <row r="20" spans="1:14" x14ac:dyDescent="0.25">
      <c r="A20">
        <v>19</v>
      </c>
      <c r="B20" t="s">
        <v>676</v>
      </c>
      <c r="C20" t="s">
        <v>677</v>
      </c>
      <c r="D20" t="s">
        <v>646</v>
      </c>
      <c r="E20" t="s">
        <v>119</v>
      </c>
      <c r="F20" t="s">
        <v>117</v>
      </c>
      <c r="G20">
        <v>68167</v>
      </c>
      <c r="H20">
        <v>13633</v>
      </c>
      <c r="I20">
        <v>6816</v>
      </c>
      <c r="J20">
        <v>6534</v>
      </c>
      <c r="K20">
        <v>95150</v>
      </c>
      <c r="L20">
        <v>8180</v>
      </c>
      <c r="M20">
        <v>9515</v>
      </c>
      <c r="N20">
        <v>77455</v>
      </c>
    </row>
    <row r="21" spans="1:14" x14ac:dyDescent="0.25">
      <c r="A21">
        <v>20</v>
      </c>
      <c r="B21" t="s">
        <v>678</v>
      </c>
      <c r="C21" t="s">
        <v>679</v>
      </c>
      <c r="D21" t="s">
        <v>641</v>
      </c>
      <c r="E21" t="s">
        <v>647</v>
      </c>
      <c r="F21" t="s">
        <v>652</v>
      </c>
      <c r="G21">
        <v>44462</v>
      </c>
      <c r="H21">
        <v>8892</v>
      </c>
      <c r="I21">
        <v>4446</v>
      </c>
      <c r="J21">
        <v>3086</v>
      </c>
      <c r="K21">
        <v>60886</v>
      </c>
      <c r="L21">
        <v>5335</v>
      </c>
      <c r="M21">
        <v>6088</v>
      </c>
      <c r="N21">
        <v>49463</v>
      </c>
    </row>
    <row r="22" spans="1:14" x14ac:dyDescent="0.25">
      <c r="A22">
        <v>21</v>
      </c>
      <c r="B22" t="s">
        <v>121</v>
      </c>
      <c r="C22" t="s">
        <v>672</v>
      </c>
      <c r="D22" t="s">
        <v>641</v>
      </c>
      <c r="E22" t="s">
        <v>119</v>
      </c>
      <c r="F22" t="s">
        <v>117</v>
      </c>
      <c r="G22">
        <v>79664</v>
      </c>
      <c r="H22">
        <v>15932</v>
      </c>
      <c r="I22">
        <v>7966</v>
      </c>
      <c r="J22">
        <v>8826</v>
      </c>
      <c r="K22">
        <v>112388</v>
      </c>
      <c r="L22">
        <v>9559</v>
      </c>
      <c r="M22">
        <v>11238</v>
      </c>
      <c r="N22">
        <v>91591</v>
      </c>
    </row>
    <row r="23" spans="1:14" x14ac:dyDescent="0.25">
      <c r="A23">
        <v>22</v>
      </c>
      <c r="B23" t="s">
        <v>680</v>
      </c>
      <c r="C23" t="s">
        <v>681</v>
      </c>
      <c r="D23" t="s">
        <v>646</v>
      </c>
      <c r="E23" t="s">
        <v>647</v>
      </c>
      <c r="F23" t="s">
        <v>117</v>
      </c>
      <c r="G23">
        <v>56954</v>
      </c>
      <c r="H23">
        <v>11390</v>
      </c>
      <c r="I23">
        <v>5695</v>
      </c>
      <c r="J23">
        <v>3033</v>
      </c>
      <c r="K23">
        <v>77072</v>
      </c>
      <c r="L23">
        <v>6834</v>
      </c>
      <c r="M23">
        <v>7707</v>
      </c>
      <c r="N23">
        <v>62531</v>
      </c>
    </row>
    <row r="24" spans="1:14" x14ac:dyDescent="0.25">
      <c r="A24">
        <v>23</v>
      </c>
      <c r="B24" t="s">
        <v>234</v>
      </c>
      <c r="C24" t="s">
        <v>672</v>
      </c>
      <c r="D24" t="s">
        <v>646</v>
      </c>
      <c r="E24" t="s">
        <v>119</v>
      </c>
      <c r="F24" t="s">
        <v>648</v>
      </c>
      <c r="G24">
        <v>67845</v>
      </c>
      <c r="H24">
        <v>13569</v>
      </c>
      <c r="I24">
        <v>6784</v>
      </c>
      <c r="J24">
        <v>5776</v>
      </c>
      <c r="K24">
        <v>93974</v>
      </c>
      <c r="L24">
        <v>8141</v>
      </c>
      <c r="M24">
        <v>9397</v>
      </c>
      <c r="N24">
        <v>76436</v>
      </c>
    </row>
    <row r="25" spans="1:14" x14ac:dyDescent="0.25">
      <c r="A25">
        <v>24</v>
      </c>
      <c r="B25" t="s">
        <v>128</v>
      </c>
      <c r="C25" t="s">
        <v>672</v>
      </c>
      <c r="D25" t="s">
        <v>641</v>
      </c>
      <c r="E25" t="s">
        <v>647</v>
      </c>
      <c r="F25" t="s">
        <v>655</v>
      </c>
      <c r="G25">
        <v>21817</v>
      </c>
      <c r="H25">
        <v>4363</v>
      </c>
      <c r="I25">
        <v>2181</v>
      </c>
      <c r="J25">
        <v>3914</v>
      </c>
      <c r="K25">
        <v>32275</v>
      </c>
      <c r="L25">
        <v>2618</v>
      </c>
      <c r="M25">
        <v>3227</v>
      </c>
      <c r="N25">
        <v>26430</v>
      </c>
    </row>
    <row r="26" spans="1:14" x14ac:dyDescent="0.25">
      <c r="A26">
        <v>25</v>
      </c>
      <c r="B26" t="s">
        <v>682</v>
      </c>
      <c r="C26" t="s">
        <v>666</v>
      </c>
      <c r="D26" t="s">
        <v>641</v>
      </c>
      <c r="E26" t="s">
        <v>674</v>
      </c>
      <c r="F26" t="s">
        <v>661</v>
      </c>
      <c r="G26">
        <v>58962</v>
      </c>
      <c r="H26">
        <v>11792</v>
      </c>
      <c r="I26">
        <v>5896</v>
      </c>
      <c r="J26">
        <v>6829</v>
      </c>
      <c r="K26">
        <v>83479</v>
      </c>
      <c r="L26">
        <v>7075</v>
      </c>
      <c r="M26">
        <v>8347</v>
      </c>
      <c r="N26">
        <v>68057</v>
      </c>
    </row>
    <row r="27" spans="1:14" x14ac:dyDescent="0.25">
      <c r="A27">
        <v>26</v>
      </c>
      <c r="B27" t="s">
        <v>644</v>
      </c>
      <c r="C27" t="s">
        <v>677</v>
      </c>
      <c r="D27" t="s">
        <v>646</v>
      </c>
      <c r="E27" t="s">
        <v>674</v>
      </c>
      <c r="F27" t="s">
        <v>652</v>
      </c>
      <c r="G27">
        <v>48968</v>
      </c>
      <c r="H27">
        <v>9793</v>
      </c>
      <c r="I27">
        <v>4896</v>
      </c>
      <c r="J27">
        <v>8204</v>
      </c>
      <c r="K27">
        <v>71861</v>
      </c>
      <c r="L27">
        <v>5876</v>
      </c>
      <c r="M27">
        <v>7186</v>
      </c>
      <c r="N27">
        <v>58799</v>
      </c>
    </row>
    <row r="28" spans="1:14" x14ac:dyDescent="0.25">
      <c r="A28">
        <v>27</v>
      </c>
      <c r="B28" t="s">
        <v>670</v>
      </c>
      <c r="C28" t="s">
        <v>679</v>
      </c>
      <c r="D28" t="s">
        <v>641</v>
      </c>
      <c r="E28" t="s">
        <v>674</v>
      </c>
      <c r="F28" t="s">
        <v>655</v>
      </c>
      <c r="G28">
        <v>78665</v>
      </c>
      <c r="H28">
        <v>15733</v>
      </c>
      <c r="I28">
        <v>7866</v>
      </c>
      <c r="J28">
        <v>3924</v>
      </c>
      <c r="K28">
        <v>106188</v>
      </c>
      <c r="L28">
        <v>9439</v>
      </c>
      <c r="M28">
        <v>10618</v>
      </c>
      <c r="N28">
        <v>86131</v>
      </c>
    </row>
    <row r="29" spans="1:14" x14ac:dyDescent="0.25">
      <c r="A29">
        <v>28</v>
      </c>
      <c r="B29" t="s">
        <v>670</v>
      </c>
      <c r="C29" t="s">
        <v>683</v>
      </c>
      <c r="D29" t="s">
        <v>641</v>
      </c>
      <c r="E29" t="s">
        <v>651</v>
      </c>
      <c r="F29" t="s">
        <v>643</v>
      </c>
      <c r="G29">
        <v>47308</v>
      </c>
      <c r="H29">
        <v>9461</v>
      </c>
      <c r="I29">
        <v>4730</v>
      </c>
      <c r="J29">
        <v>8299</v>
      </c>
      <c r="K29">
        <v>69798</v>
      </c>
      <c r="L29">
        <v>5676</v>
      </c>
      <c r="M29">
        <v>6979</v>
      </c>
      <c r="N29">
        <v>57143</v>
      </c>
    </row>
    <row r="30" spans="1:14" x14ac:dyDescent="0.25">
      <c r="A30">
        <v>29</v>
      </c>
      <c r="B30" t="s">
        <v>653</v>
      </c>
      <c r="C30" t="s">
        <v>681</v>
      </c>
      <c r="D30" t="s">
        <v>641</v>
      </c>
      <c r="E30" t="s">
        <v>647</v>
      </c>
      <c r="F30" t="s">
        <v>648</v>
      </c>
      <c r="G30">
        <v>63476</v>
      </c>
      <c r="H30">
        <v>12695</v>
      </c>
      <c r="I30">
        <v>6347</v>
      </c>
      <c r="J30">
        <v>4326</v>
      </c>
      <c r="K30">
        <v>86844</v>
      </c>
      <c r="L30">
        <v>7617</v>
      </c>
      <c r="M30">
        <v>8684</v>
      </c>
      <c r="N30">
        <v>70543</v>
      </c>
    </row>
    <row r="31" spans="1:14" x14ac:dyDescent="0.25">
      <c r="A31">
        <v>30</v>
      </c>
      <c r="B31" t="s">
        <v>684</v>
      </c>
      <c r="C31" t="s">
        <v>640</v>
      </c>
      <c r="D31" t="s">
        <v>641</v>
      </c>
      <c r="E31" t="s">
        <v>642</v>
      </c>
      <c r="F31" t="s">
        <v>652</v>
      </c>
      <c r="G31">
        <v>70224</v>
      </c>
      <c r="H31">
        <v>14044</v>
      </c>
      <c r="I31">
        <v>7022</v>
      </c>
      <c r="J31">
        <v>2902</v>
      </c>
      <c r="K31">
        <v>94192</v>
      </c>
      <c r="L31">
        <v>8426</v>
      </c>
      <c r="M31">
        <v>9419</v>
      </c>
      <c r="N31">
        <v>76347</v>
      </c>
    </row>
    <row r="32" spans="1:14" x14ac:dyDescent="0.25">
      <c r="A32">
        <v>31</v>
      </c>
      <c r="B32" t="s">
        <v>670</v>
      </c>
      <c r="C32" t="s">
        <v>666</v>
      </c>
      <c r="D32" t="s">
        <v>641</v>
      </c>
      <c r="E32" t="s">
        <v>660</v>
      </c>
      <c r="F32" t="s">
        <v>643</v>
      </c>
      <c r="G32">
        <v>57847</v>
      </c>
      <c r="H32">
        <v>11569</v>
      </c>
      <c r="I32">
        <v>5784</v>
      </c>
      <c r="J32">
        <v>5757</v>
      </c>
      <c r="K32">
        <v>80957</v>
      </c>
      <c r="L32">
        <v>6941</v>
      </c>
      <c r="M32">
        <v>8095</v>
      </c>
      <c r="N32">
        <v>65921</v>
      </c>
    </row>
    <row r="33" spans="1:14" x14ac:dyDescent="0.25">
      <c r="A33">
        <v>32</v>
      </c>
      <c r="B33" t="s">
        <v>685</v>
      </c>
      <c r="C33" t="s">
        <v>686</v>
      </c>
      <c r="D33" t="s">
        <v>646</v>
      </c>
      <c r="E33" t="s">
        <v>674</v>
      </c>
      <c r="F33" t="s">
        <v>661</v>
      </c>
      <c r="G33">
        <v>62716</v>
      </c>
      <c r="H33">
        <v>12543</v>
      </c>
      <c r="I33">
        <v>6271</v>
      </c>
      <c r="J33">
        <v>6108</v>
      </c>
      <c r="K33">
        <v>87638</v>
      </c>
      <c r="L33">
        <v>7525</v>
      </c>
      <c r="M33">
        <v>8763</v>
      </c>
      <c r="N33">
        <v>71350</v>
      </c>
    </row>
    <row r="34" spans="1:14" x14ac:dyDescent="0.25">
      <c r="A34">
        <v>33</v>
      </c>
      <c r="B34" t="s">
        <v>611</v>
      </c>
      <c r="C34" t="s">
        <v>681</v>
      </c>
      <c r="D34" t="s">
        <v>641</v>
      </c>
      <c r="E34" t="s">
        <v>647</v>
      </c>
      <c r="F34" t="s">
        <v>655</v>
      </c>
      <c r="G34">
        <v>34427</v>
      </c>
      <c r="H34">
        <v>6885</v>
      </c>
      <c r="I34">
        <v>3442</v>
      </c>
      <c r="J34">
        <v>5668</v>
      </c>
      <c r="K34">
        <v>50422</v>
      </c>
      <c r="L34">
        <v>4131</v>
      </c>
      <c r="M34">
        <v>5042</v>
      </c>
      <c r="N34">
        <v>41249</v>
      </c>
    </row>
    <row r="35" spans="1:14" x14ac:dyDescent="0.25">
      <c r="A35">
        <v>34</v>
      </c>
      <c r="B35" t="s">
        <v>687</v>
      </c>
      <c r="C35" t="s">
        <v>686</v>
      </c>
      <c r="D35" t="s">
        <v>646</v>
      </c>
      <c r="E35" t="s">
        <v>119</v>
      </c>
      <c r="F35" t="s">
        <v>652</v>
      </c>
      <c r="G35">
        <v>49855</v>
      </c>
      <c r="H35">
        <v>9971</v>
      </c>
      <c r="I35">
        <v>4985</v>
      </c>
      <c r="J35">
        <v>3415</v>
      </c>
      <c r="K35">
        <v>68226</v>
      </c>
      <c r="L35">
        <v>5982</v>
      </c>
      <c r="M35">
        <v>6822</v>
      </c>
      <c r="N35">
        <v>55422</v>
      </c>
    </row>
    <row r="36" spans="1:14" x14ac:dyDescent="0.25">
      <c r="A36">
        <v>35</v>
      </c>
      <c r="B36" t="s">
        <v>667</v>
      </c>
      <c r="C36" t="s">
        <v>650</v>
      </c>
      <c r="D36" t="s">
        <v>646</v>
      </c>
      <c r="E36" t="s">
        <v>651</v>
      </c>
      <c r="F36" t="s">
        <v>643</v>
      </c>
      <c r="G36">
        <v>44961</v>
      </c>
      <c r="H36">
        <v>8992</v>
      </c>
      <c r="I36">
        <v>4496</v>
      </c>
      <c r="J36">
        <v>2327</v>
      </c>
      <c r="K36">
        <v>60776</v>
      </c>
      <c r="L36">
        <v>5395</v>
      </c>
      <c r="M36">
        <v>6077</v>
      </c>
      <c r="N36">
        <v>49304</v>
      </c>
    </row>
    <row r="37" spans="1:14" x14ac:dyDescent="0.25">
      <c r="A37">
        <v>36</v>
      </c>
      <c r="B37" t="s">
        <v>121</v>
      </c>
      <c r="C37" t="s">
        <v>677</v>
      </c>
      <c r="D37" t="s">
        <v>641</v>
      </c>
      <c r="E37" t="s">
        <v>119</v>
      </c>
      <c r="F37" t="s">
        <v>655</v>
      </c>
      <c r="G37">
        <v>47876</v>
      </c>
      <c r="H37">
        <v>9575</v>
      </c>
      <c r="I37">
        <v>4787</v>
      </c>
      <c r="J37">
        <v>6335</v>
      </c>
      <c r="K37">
        <v>68573</v>
      </c>
      <c r="L37">
        <v>5745</v>
      </c>
      <c r="M37">
        <v>6857</v>
      </c>
      <c r="N37">
        <v>55971</v>
      </c>
    </row>
    <row r="38" spans="1:14" x14ac:dyDescent="0.25">
      <c r="A38">
        <v>37</v>
      </c>
      <c r="B38" t="s">
        <v>663</v>
      </c>
      <c r="C38" t="s">
        <v>688</v>
      </c>
      <c r="D38" t="s">
        <v>641</v>
      </c>
      <c r="E38" t="s">
        <v>660</v>
      </c>
      <c r="F38" t="s">
        <v>117</v>
      </c>
      <c r="G38">
        <v>45653</v>
      </c>
      <c r="H38">
        <v>9130</v>
      </c>
      <c r="I38">
        <v>4565</v>
      </c>
      <c r="J38">
        <v>7327</v>
      </c>
      <c r="K38">
        <v>66675</v>
      </c>
      <c r="L38">
        <v>5478</v>
      </c>
      <c r="M38">
        <v>6667</v>
      </c>
      <c r="N38">
        <v>54530</v>
      </c>
    </row>
    <row r="39" spans="1:14" x14ac:dyDescent="0.25">
      <c r="A39">
        <v>38</v>
      </c>
      <c r="B39" t="s">
        <v>689</v>
      </c>
      <c r="C39" t="s">
        <v>690</v>
      </c>
      <c r="D39" t="s">
        <v>646</v>
      </c>
      <c r="E39" t="s">
        <v>660</v>
      </c>
      <c r="F39" t="s">
        <v>648</v>
      </c>
      <c r="G39">
        <v>20380</v>
      </c>
      <c r="H39">
        <v>4076</v>
      </c>
      <c r="I39">
        <v>2038</v>
      </c>
      <c r="J39">
        <v>8075</v>
      </c>
      <c r="K39">
        <v>34569</v>
      </c>
      <c r="L39">
        <v>2445</v>
      </c>
      <c r="M39">
        <v>3456</v>
      </c>
      <c r="N39">
        <v>28668</v>
      </c>
    </row>
    <row r="40" spans="1:14" x14ac:dyDescent="0.25">
      <c r="A40">
        <v>39</v>
      </c>
      <c r="B40" t="s">
        <v>691</v>
      </c>
      <c r="C40" t="s">
        <v>690</v>
      </c>
      <c r="D40" t="s">
        <v>646</v>
      </c>
      <c r="E40" t="s">
        <v>119</v>
      </c>
      <c r="F40" t="s">
        <v>655</v>
      </c>
      <c r="G40">
        <v>50328</v>
      </c>
      <c r="H40">
        <v>10065</v>
      </c>
      <c r="I40">
        <v>5032</v>
      </c>
      <c r="J40">
        <v>6720</v>
      </c>
      <c r="K40">
        <v>72145</v>
      </c>
      <c r="L40">
        <v>6039</v>
      </c>
      <c r="M40">
        <v>7214</v>
      </c>
      <c r="N40">
        <v>58892</v>
      </c>
    </row>
    <row r="41" spans="1:14" x14ac:dyDescent="0.25">
      <c r="A41">
        <v>40</v>
      </c>
      <c r="B41" t="s">
        <v>692</v>
      </c>
      <c r="C41" t="s">
        <v>662</v>
      </c>
      <c r="D41" t="s">
        <v>641</v>
      </c>
      <c r="E41" t="s">
        <v>642</v>
      </c>
      <c r="F41" t="s">
        <v>652</v>
      </c>
      <c r="G41">
        <v>24936</v>
      </c>
      <c r="H41">
        <v>4987</v>
      </c>
      <c r="I41">
        <v>2493</v>
      </c>
      <c r="J41">
        <v>8770</v>
      </c>
      <c r="K41">
        <v>41186</v>
      </c>
      <c r="L41">
        <v>2992</v>
      </c>
      <c r="M41">
        <v>4118</v>
      </c>
      <c r="N41">
        <v>34076</v>
      </c>
    </row>
    <row r="42" spans="1:14" x14ac:dyDescent="0.25">
      <c r="A42">
        <v>41</v>
      </c>
      <c r="B42" t="s">
        <v>658</v>
      </c>
      <c r="C42" t="s">
        <v>688</v>
      </c>
      <c r="D42" t="s">
        <v>641</v>
      </c>
      <c r="E42" t="s">
        <v>674</v>
      </c>
      <c r="F42" t="s">
        <v>648</v>
      </c>
      <c r="G42">
        <v>72163</v>
      </c>
      <c r="H42">
        <v>14432</v>
      </c>
      <c r="I42">
        <v>7216</v>
      </c>
      <c r="J42">
        <v>6978</v>
      </c>
      <c r="K42">
        <v>100789</v>
      </c>
      <c r="L42">
        <v>8659</v>
      </c>
      <c r="M42">
        <v>10078</v>
      </c>
      <c r="N42">
        <v>82052</v>
      </c>
    </row>
    <row r="43" spans="1:14" x14ac:dyDescent="0.25">
      <c r="A43">
        <v>42</v>
      </c>
      <c r="B43" t="s">
        <v>693</v>
      </c>
      <c r="C43" t="s">
        <v>694</v>
      </c>
      <c r="D43" t="s">
        <v>641</v>
      </c>
      <c r="E43" t="s">
        <v>674</v>
      </c>
      <c r="F43" t="s">
        <v>661</v>
      </c>
      <c r="G43">
        <v>29984</v>
      </c>
      <c r="H43">
        <v>5996</v>
      </c>
      <c r="I43">
        <v>2998</v>
      </c>
      <c r="J43">
        <v>2533</v>
      </c>
      <c r="K43">
        <v>41511</v>
      </c>
      <c r="L43">
        <v>3598</v>
      </c>
      <c r="M43">
        <v>4151</v>
      </c>
      <c r="N43">
        <v>33762</v>
      </c>
    </row>
    <row r="44" spans="1:14" x14ac:dyDescent="0.25">
      <c r="A44">
        <v>43</v>
      </c>
      <c r="B44" t="s">
        <v>665</v>
      </c>
      <c r="C44" t="s">
        <v>640</v>
      </c>
      <c r="D44" t="s">
        <v>646</v>
      </c>
      <c r="E44" t="s">
        <v>642</v>
      </c>
      <c r="F44" t="s">
        <v>117</v>
      </c>
      <c r="G44">
        <v>40221</v>
      </c>
      <c r="H44">
        <v>8044</v>
      </c>
      <c r="I44">
        <v>4022</v>
      </c>
      <c r="J44">
        <v>6861</v>
      </c>
      <c r="K44">
        <v>59148</v>
      </c>
      <c r="L44">
        <v>4826</v>
      </c>
      <c r="M44">
        <v>5914</v>
      </c>
      <c r="N44">
        <v>48408</v>
      </c>
    </row>
    <row r="45" spans="1:14" x14ac:dyDescent="0.25">
      <c r="A45">
        <v>44</v>
      </c>
      <c r="B45" t="s">
        <v>685</v>
      </c>
      <c r="C45" t="s">
        <v>640</v>
      </c>
      <c r="D45" t="s">
        <v>646</v>
      </c>
      <c r="E45" t="s">
        <v>642</v>
      </c>
      <c r="F45" t="s">
        <v>643</v>
      </c>
      <c r="G45">
        <v>62114</v>
      </c>
      <c r="H45">
        <v>12422</v>
      </c>
      <c r="I45">
        <v>6211</v>
      </c>
      <c r="J45">
        <v>8503</v>
      </c>
      <c r="K45">
        <v>89250</v>
      </c>
      <c r="L45">
        <v>7453</v>
      </c>
      <c r="M45">
        <v>8925</v>
      </c>
      <c r="N45">
        <v>72872</v>
      </c>
    </row>
    <row r="46" spans="1:14" x14ac:dyDescent="0.25">
      <c r="A46">
        <v>45</v>
      </c>
      <c r="B46" t="s">
        <v>695</v>
      </c>
      <c r="C46" t="s">
        <v>664</v>
      </c>
      <c r="D46" t="s">
        <v>641</v>
      </c>
      <c r="E46" t="s">
        <v>651</v>
      </c>
      <c r="F46" t="s">
        <v>652</v>
      </c>
      <c r="G46">
        <v>53871</v>
      </c>
      <c r="H46">
        <v>10774</v>
      </c>
      <c r="I46">
        <v>5387</v>
      </c>
      <c r="J46">
        <v>9976</v>
      </c>
      <c r="K46">
        <v>80008</v>
      </c>
      <c r="L46">
        <v>6464</v>
      </c>
      <c r="M46">
        <v>8000</v>
      </c>
      <c r="N46">
        <v>65544</v>
      </c>
    </row>
    <row r="47" spans="1:14" x14ac:dyDescent="0.25">
      <c r="A47">
        <v>46</v>
      </c>
      <c r="B47" t="s">
        <v>673</v>
      </c>
      <c r="C47" t="s">
        <v>690</v>
      </c>
      <c r="D47" t="s">
        <v>646</v>
      </c>
      <c r="E47" t="s">
        <v>660</v>
      </c>
      <c r="F47" t="s">
        <v>648</v>
      </c>
      <c r="G47">
        <v>51805</v>
      </c>
      <c r="H47">
        <v>10361</v>
      </c>
      <c r="I47">
        <v>5180</v>
      </c>
      <c r="J47">
        <v>8670</v>
      </c>
      <c r="K47">
        <v>76016</v>
      </c>
      <c r="L47">
        <v>6216</v>
      </c>
      <c r="M47">
        <v>7601</v>
      </c>
      <c r="N47">
        <v>62199</v>
      </c>
    </row>
    <row r="48" spans="1:14" x14ac:dyDescent="0.25">
      <c r="A48">
        <v>47</v>
      </c>
      <c r="B48" t="s">
        <v>693</v>
      </c>
      <c r="C48" t="s">
        <v>664</v>
      </c>
      <c r="D48" t="s">
        <v>641</v>
      </c>
      <c r="E48" t="s">
        <v>647</v>
      </c>
      <c r="F48" t="s">
        <v>643</v>
      </c>
      <c r="G48">
        <v>32824</v>
      </c>
      <c r="H48">
        <v>6564</v>
      </c>
      <c r="I48">
        <v>3282</v>
      </c>
      <c r="J48">
        <v>9464</v>
      </c>
      <c r="K48">
        <v>52134</v>
      </c>
      <c r="L48">
        <v>3938</v>
      </c>
      <c r="M48">
        <v>5213</v>
      </c>
      <c r="N48">
        <v>42983</v>
      </c>
    </row>
    <row r="49" spans="1:14" x14ac:dyDescent="0.25">
      <c r="A49">
        <v>48</v>
      </c>
      <c r="B49" t="s">
        <v>673</v>
      </c>
      <c r="C49" t="s">
        <v>654</v>
      </c>
      <c r="D49" t="s">
        <v>646</v>
      </c>
      <c r="E49" t="s">
        <v>642</v>
      </c>
      <c r="F49" t="s">
        <v>661</v>
      </c>
      <c r="G49">
        <v>59008</v>
      </c>
      <c r="H49">
        <v>11801</v>
      </c>
      <c r="I49">
        <v>5900</v>
      </c>
      <c r="J49">
        <v>4141</v>
      </c>
      <c r="K49">
        <v>80850</v>
      </c>
      <c r="L49">
        <v>7080</v>
      </c>
      <c r="M49">
        <v>8085</v>
      </c>
      <c r="N49">
        <v>65685</v>
      </c>
    </row>
    <row r="50" spans="1:14" x14ac:dyDescent="0.25">
      <c r="A50">
        <v>49</v>
      </c>
      <c r="B50" t="s">
        <v>670</v>
      </c>
      <c r="C50" t="s">
        <v>640</v>
      </c>
      <c r="D50" t="s">
        <v>641</v>
      </c>
      <c r="E50" t="s">
        <v>647</v>
      </c>
      <c r="F50" t="s">
        <v>661</v>
      </c>
      <c r="G50">
        <v>71786</v>
      </c>
      <c r="H50">
        <v>14357</v>
      </c>
      <c r="I50">
        <v>7178</v>
      </c>
      <c r="J50">
        <v>3357</v>
      </c>
      <c r="K50">
        <v>96678</v>
      </c>
      <c r="L50">
        <v>8614</v>
      </c>
      <c r="M50">
        <v>9667</v>
      </c>
      <c r="N50">
        <v>78397</v>
      </c>
    </row>
    <row r="51" spans="1:14" x14ac:dyDescent="0.25">
      <c r="A51">
        <v>50</v>
      </c>
      <c r="B51" t="s">
        <v>689</v>
      </c>
      <c r="C51" t="s">
        <v>677</v>
      </c>
      <c r="D51" t="s">
        <v>646</v>
      </c>
      <c r="E51" t="s">
        <v>660</v>
      </c>
      <c r="F51" t="s">
        <v>661</v>
      </c>
      <c r="G51">
        <v>60843</v>
      </c>
      <c r="H51">
        <v>12168</v>
      </c>
      <c r="I51">
        <v>6084</v>
      </c>
      <c r="J51">
        <v>4747</v>
      </c>
      <c r="K51">
        <v>83842</v>
      </c>
      <c r="L51">
        <v>7301</v>
      </c>
      <c r="M51">
        <v>8384</v>
      </c>
      <c r="N51">
        <v>68157</v>
      </c>
    </row>
    <row r="52" spans="1:14" x14ac:dyDescent="0.25">
      <c r="A52">
        <v>51</v>
      </c>
      <c r="B52" t="s">
        <v>696</v>
      </c>
      <c r="C52" t="s">
        <v>657</v>
      </c>
      <c r="D52" t="s">
        <v>646</v>
      </c>
      <c r="E52" t="s">
        <v>642</v>
      </c>
      <c r="F52" t="s">
        <v>643</v>
      </c>
      <c r="G52">
        <v>24916</v>
      </c>
      <c r="H52">
        <v>4983</v>
      </c>
      <c r="I52">
        <v>2491</v>
      </c>
      <c r="J52">
        <v>7396</v>
      </c>
      <c r="K52">
        <v>39786</v>
      </c>
      <c r="L52">
        <v>2989</v>
      </c>
      <c r="M52">
        <v>3978</v>
      </c>
      <c r="N52">
        <v>32819</v>
      </c>
    </row>
    <row r="53" spans="1:14" x14ac:dyDescent="0.25">
      <c r="A53">
        <v>52</v>
      </c>
      <c r="B53" t="s">
        <v>695</v>
      </c>
      <c r="C53" t="s">
        <v>690</v>
      </c>
      <c r="D53" t="s">
        <v>641</v>
      </c>
      <c r="E53" t="s">
        <v>647</v>
      </c>
      <c r="F53" t="s">
        <v>652</v>
      </c>
      <c r="G53">
        <v>79232</v>
      </c>
      <c r="H53">
        <v>15846</v>
      </c>
      <c r="I53">
        <v>7923</v>
      </c>
      <c r="J53">
        <v>7211</v>
      </c>
      <c r="K53">
        <v>110212</v>
      </c>
      <c r="L53">
        <v>9507</v>
      </c>
      <c r="M53">
        <v>11021</v>
      </c>
      <c r="N53">
        <v>89684</v>
      </c>
    </row>
    <row r="54" spans="1:14" x14ac:dyDescent="0.25">
      <c r="A54">
        <v>53</v>
      </c>
      <c r="B54" t="s">
        <v>697</v>
      </c>
      <c r="C54" t="s">
        <v>669</v>
      </c>
      <c r="D54" t="s">
        <v>646</v>
      </c>
      <c r="E54" t="s">
        <v>642</v>
      </c>
      <c r="F54" t="s">
        <v>652</v>
      </c>
      <c r="G54">
        <v>35096</v>
      </c>
      <c r="H54">
        <v>7019</v>
      </c>
      <c r="I54">
        <v>3509</v>
      </c>
      <c r="J54">
        <v>8514</v>
      </c>
      <c r="K54">
        <v>54138</v>
      </c>
      <c r="L54">
        <v>4211</v>
      </c>
      <c r="M54">
        <v>5413</v>
      </c>
      <c r="N54">
        <v>44514</v>
      </c>
    </row>
    <row r="55" spans="1:14" x14ac:dyDescent="0.25">
      <c r="A55">
        <v>54</v>
      </c>
      <c r="B55" t="s">
        <v>698</v>
      </c>
      <c r="C55" t="s">
        <v>664</v>
      </c>
      <c r="D55" t="s">
        <v>641</v>
      </c>
      <c r="E55" t="s">
        <v>651</v>
      </c>
      <c r="F55" t="s">
        <v>652</v>
      </c>
      <c r="G55">
        <v>40881</v>
      </c>
      <c r="H55">
        <v>8176</v>
      </c>
      <c r="I55">
        <v>4088</v>
      </c>
      <c r="J55">
        <v>3607</v>
      </c>
      <c r="K55">
        <v>56752</v>
      </c>
      <c r="L55">
        <v>4905</v>
      </c>
      <c r="M55">
        <v>5675</v>
      </c>
      <c r="N55">
        <v>46172</v>
      </c>
    </row>
    <row r="56" spans="1:14" x14ac:dyDescent="0.25">
      <c r="A56">
        <v>55</v>
      </c>
      <c r="B56" t="s">
        <v>675</v>
      </c>
      <c r="C56" t="s">
        <v>688</v>
      </c>
      <c r="D56" t="s">
        <v>646</v>
      </c>
      <c r="E56" t="s">
        <v>119</v>
      </c>
      <c r="F56" t="s">
        <v>648</v>
      </c>
      <c r="G56">
        <v>20000</v>
      </c>
      <c r="H56">
        <v>4000</v>
      </c>
      <c r="I56">
        <v>2000</v>
      </c>
      <c r="J56">
        <v>3589</v>
      </c>
      <c r="K56">
        <v>29589</v>
      </c>
      <c r="L56">
        <v>2400</v>
      </c>
      <c r="M56">
        <v>2958</v>
      </c>
      <c r="N56">
        <v>24231</v>
      </c>
    </row>
    <row r="57" spans="1:14" x14ac:dyDescent="0.25">
      <c r="A57">
        <v>56</v>
      </c>
      <c r="B57" t="s">
        <v>691</v>
      </c>
      <c r="C57" t="s">
        <v>662</v>
      </c>
      <c r="D57" t="s">
        <v>646</v>
      </c>
      <c r="E57" t="s">
        <v>660</v>
      </c>
      <c r="F57" t="s">
        <v>117</v>
      </c>
      <c r="G57">
        <v>53126</v>
      </c>
      <c r="H57">
        <v>10625</v>
      </c>
      <c r="I57">
        <v>5312</v>
      </c>
      <c r="J57">
        <v>6479</v>
      </c>
      <c r="K57">
        <v>75542</v>
      </c>
      <c r="L57">
        <v>6375</v>
      </c>
      <c r="M57">
        <v>7554</v>
      </c>
      <c r="N57">
        <v>61613</v>
      </c>
    </row>
    <row r="58" spans="1:14" x14ac:dyDescent="0.25">
      <c r="A58">
        <v>57</v>
      </c>
      <c r="B58" t="s">
        <v>680</v>
      </c>
      <c r="C58" t="s">
        <v>664</v>
      </c>
      <c r="D58" t="s">
        <v>646</v>
      </c>
      <c r="E58" t="s">
        <v>642</v>
      </c>
      <c r="F58" t="s">
        <v>643</v>
      </c>
      <c r="G58">
        <v>77187</v>
      </c>
      <c r="H58">
        <v>15437</v>
      </c>
      <c r="I58">
        <v>7718</v>
      </c>
      <c r="J58">
        <v>9513</v>
      </c>
      <c r="K58">
        <v>109855</v>
      </c>
      <c r="L58">
        <v>9262</v>
      </c>
      <c r="M58">
        <v>10985</v>
      </c>
      <c r="N58">
        <v>89608</v>
      </c>
    </row>
    <row r="59" spans="1:14" x14ac:dyDescent="0.25">
      <c r="A59">
        <v>58</v>
      </c>
      <c r="B59" t="s">
        <v>649</v>
      </c>
      <c r="C59" t="s">
        <v>664</v>
      </c>
      <c r="D59" t="s">
        <v>646</v>
      </c>
      <c r="E59" t="s">
        <v>660</v>
      </c>
      <c r="F59" t="s">
        <v>643</v>
      </c>
      <c r="G59">
        <v>64622</v>
      </c>
      <c r="H59">
        <v>12924</v>
      </c>
      <c r="I59">
        <v>6462</v>
      </c>
      <c r="J59">
        <v>3308</v>
      </c>
      <c r="K59">
        <v>87316</v>
      </c>
      <c r="L59">
        <v>7754</v>
      </c>
      <c r="M59">
        <v>8731</v>
      </c>
      <c r="N59">
        <v>70831</v>
      </c>
    </row>
    <row r="60" spans="1:14" x14ac:dyDescent="0.25">
      <c r="A60">
        <v>59</v>
      </c>
      <c r="B60" t="s">
        <v>675</v>
      </c>
      <c r="C60" t="s">
        <v>650</v>
      </c>
      <c r="D60" t="s">
        <v>646</v>
      </c>
      <c r="E60" t="s">
        <v>674</v>
      </c>
      <c r="F60" t="s">
        <v>117</v>
      </c>
      <c r="G60">
        <v>25787</v>
      </c>
      <c r="H60">
        <v>5157</v>
      </c>
      <c r="I60">
        <v>2578</v>
      </c>
      <c r="J60">
        <v>4235</v>
      </c>
      <c r="K60">
        <v>37757</v>
      </c>
      <c r="L60">
        <v>3094</v>
      </c>
      <c r="M60">
        <v>3775</v>
      </c>
      <c r="N60">
        <v>30888</v>
      </c>
    </row>
    <row r="61" spans="1:14" x14ac:dyDescent="0.25">
      <c r="A61">
        <v>60</v>
      </c>
      <c r="B61" t="s">
        <v>698</v>
      </c>
      <c r="C61" t="s">
        <v>645</v>
      </c>
      <c r="D61" t="s">
        <v>641</v>
      </c>
      <c r="E61" t="s">
        <v>660</v>
      </c>
      <c r="F61" t="s">
        <v>648</v>
      </c>
      <c r="G61">
        <v>33947</v>
      </c>
      <c r="H61">
        <v>6789</v>
      </c>
      <c r="I61">
        <v>3394</v>
      </c>
      <c r="J61">
        <v>3524</v>
      </c>
      <c r="K61">
        <v>47654</v>
      </c>
      <c r="L61">
        <v>4073</v>
      </c>
      <c r="M61">
        <v>4765</v>
      </c>
      <c r="N61">
        <v>38816</v>
      </c>
    </row>
    <row r="62" spans="1:14" x14ac:dyDescent="0.25">
      <c r="A62">
        <v>61</v>
      </c>
      <c r="B62" t="s">
        <v>675</v>
      </c>
      <c r="C62" t="s">
        <v>666</v>
      </c>
      <c r="D62" t="s">
        <v>646</v>
      </c>
      <c r="E62" t="s">
        <v>651</v>
      </c>
      <c r="F62" t="s">
        <v>648</v>
      </c>
      <c r="G62">
        <v>34491</v>
      </c>
      <c r="H62">
        <v>6898</v>
      </c>
      <c r="I62">
        <v>3449</v>
      </c>
      <c r="J62">
        <v>7675</v>
      </c>
      <c r="K62">
        <v>52513</v>
      </c>
      <c r="L62">
        <v>4138</v>
      </c>
      <c r="M62">
        <v>5251</v>
      </c>
      <c r="N62">
        <v>43124</v>
      </c>
    </row>
    <row r="63" spans="1:14" x14ac:dyDescent="0.25">
      <c r="A63">
        <v>62</v>
      </c>
      <c r="B63" t="s">
        <v>656</v>
      </c>
      <c r="C63" t="s">
        <v>664</v>
      </c>
      <c r="D63" t="s">
        <v>641</v>
      </c>
      <c r="E63" t="s">
        <v>651</v>
      </c>
      <c r="F63" t="s">
        <v>117</v>
      </c>
      <c r="G63">
        <v>24418</v>
      </c>
      <c r="H63">
        <v>4883</v>
      </c>
      <c r="I63">
        <v>2441</v>
      </c>
      <c r="J63">
        <v>3159</v>
      </c>
      <c r="K63">
        <v>34901</v>
      </c>
      <c r="L63">
        <v>2930</v>
      </c>
      <c r="M63">
        <v>3490</v>
      </c>
      <c r="N63">
        <v>28481</v>
      </c>
    </row>
    <row r="64" spans="1:14" x14ac:dyDescent="0.25">
      <c r="A64">
        <v>63</v>
      </c>
      <c r="B64" t="s">
        <v>234</v>
      </c>
      <c r="C64" t="s">
        <v>686</v>
      </c>
      <c r="D64" t="s">
        <v>646</v>
      </c>
      <c r="E64" t="s">
        <v>647</v>
      </c>
      <c r="F64" t="s">
        <v>652</v>
      </c>
      <c r="G64">
        <v>66958</v>
      </c>
      <c r="H64">
        <v>13391</v>
      </c>
      <c r="I64">
        <v>6695</v>
      </c>
      <c r="J64">
        <v>9327</v>
      </c>
      <c r="K64">
        <v>96371</v>
      </c>
      <c r="L64">
        <v>8034</v>
      </c>
      <c r="M64">
        <v>9637</v>
      </c>
      <c r="N64">
        <v>78700</v>
      </c>
    </row>
    <row r="65" spans="1:14" x14ac:dyDescent="0.25">
      <c r="A65">
        <v>64</v>
      </c>
      <c r="B65" t="s">
        <v>644</v>
      </c>
      <c r="C65" t="s">
        <v>694</v>
      </c>
      <c r="D65" t="s">
        <v>646</v>
      </c>
      <c r="E65" t="s">
        <v>651</v>
      </c>
      <c r="F65" t="s">
        <v>643</v>
      </c>
      <c r="G65">
        <v>21661</v>
      </c>
      <c r="H65">
        <v>4332</v>
      </c>
      <c r="I65">
        <v>2166</v>
      </c>
      <c r="J65">
        <v>2432</v>
      </c>
      <c r="K65">
        <v>30591</v>
      </c>
      <c r="L65">
        <v>2599</v>
      </c>
      <c r="M65">
        <v>3059</v>
      </c>
      <c r="N65">
        <v>24933</v>
      </c>
    </row>
    <row r="66" spans="1:14" x14ac:dyDescent="0.25">
      <c r="A66">
        <v>65</v>
      </c>
      <c r="B66" t="s">
        <v>687</v>
      </c>
      <c r="C66" t="s">
        <v>688</v>
      </c>
      <c r="D66" t="s">
        <v>646</v>
      </c>
      <c r="E66" t="s">
        <v>651</v>
      </c>
      <c r="F66" t="s">
        <v>643</v>
      </c>
      <c r="G66">
        <v>29391</v>
      </c>
      <c r="H66">
        <v>5878</v>
      </c>
      <c r="I66">
        <v>2939</v>
      </c>
      <c r="J66">
        <v>9277</v>
      </c>
      <c r="K66">
        <v>47485</v>
      </c>
      <c r="L66">
        <v>3526</v>
      </c>
      <c r="M66">
        <v>4748</v>
      </c>
      <c r="N66">
        <v>39211</v>
      </c>
    </row>
    <row r="67" spans="1:14" x14ac:dyDescent="0.25">
      <c r="A67">
        <v>66</v>
      </c>
      <c r="B67" t="s">
        <v>699</v>
      </c>
      <c r="C67" t="s">
        <v>654</v>
      </c>
      <c r="D67" t="s">
        <v>641</v>
      </c>
      <c r="E67" t="s">
        <v>660</v>
      </c>
      <c r="F67" t="s">
        <v>655</v>
      </c>
      <c r="G67">
        <v>36378</v>
      </c>
      <c r="H67">
        <v>7275</v>
      </c>
      <c r="I67">
        <v>3637</v>
      </c>
      <c r="J67">
        <v>5600</v>
      </c>
      <c r="K67">
        <v>52890</v>
      </c>
      <c r="L67">
        <v>4365</v>
      </c>
      <c r="M67">
        <v>5289</v>
      </c>
      <c r="N67">
        <v>43236</v>
      </c>
    </row>
    <row r="68" spans="1:14" x14ac:dyDescent="0.25">
      <c r="A68">
        <v>67</v>
      </c>
      <c r="B68" t="s">
        <v>693</v>
      </c>
      <c r="C68" t="s">
        <v>671</v>
      </c>
      <c r="D68" t="s">
        <v>641</v>
      </c>
      <c r="E68" t="s">
        <v>674</v>
      </c>
      <c r="F68" t="s">
        <v>661</v>
      </c>
      <c r="G68">
        <v>26916</v>
      </c>
      <c r="H68">
        <v>5383</v>
      </c>
      <c r="I68">
        <v>2691</v>
      </c>
      <c r="J68">
        <v>5457</v>
      </c>
      <c r="K68">
        <v>40447</v>
      </c>
      <c r="L68">
        <v>3229</v>
      </c>
      <c r="M68">
        <v>4044</v>
      </c>
      <c r="N68">
        <v>33174</v>
      </c>
    </row>
    <row r="69" spans="1:14" x14ac:dyDescent="0.25">
      <c r="A69">
        <v>68</v>
      </c>
      <c r="B69" t="s">
        <v>687</v>
      </c>
      <c r="C69" t="s">
        <v>650</v>
      </c>
      <c r="D69" t="s">
        <v>646</v>
      </c>
      <c r="E69" t="s">
        <v>674</v>
      </c>
      <c r="F69" t="s">
        <v>652</v>
      </c>
      <c r="G69">
        <v>24203</v>
      </c>
      <c r="H69">
        <v>4840</v>
      </c>
      <c r="I69">
        <v>2420</v>
      </c>
      <c r="J69">
        <v>9173</v>
      </c>
      <c r="K69">
        <v>40636</v>
      </c>
      <c r="L69">
        <v>2904</v>
      </c>
      <c r="M69">
        <v>4063</v>
      </c>
      <c r="N69">
        <v>33669</v>
      </c>
    </row>
    <row r="70" spans="1:14" x14ac:dyDescent="0.25">
      <c r="A70">
        <v>69</v>
      </c>
      <c r="B70" t="s">
        <v>682</v>
      </c>
      <c r="C70" t="s">
        <v>645</v>
      </c>
      <c r="D70" t="s">
        <v>641</v>
      </c>
      <c r="E70" t="s">
        <v>660</v>
      </c>
      <c r="F70" t="s">
        <v>655</v>
      </c>
      <c r="G70">
        <v>57318</v>
      </c>
      <c r="H70">
        <v>11463</v>
      </c>
      <c r="I70">
        <v>5731</v>
      </c>
      <c r="J70">
        <v>5077</v>
      </c>
      <c r="K70">
        <v>79589</v>
      </c>
      <c r="L70">
        <v>6878</v>
      </c>
      <c r="M70">
        <v>7958</v>
      </c>
      <c r="N70">
        <v>64753</v>
      </c>
    </row>
    <row r="71" spans="1:14" x14ac:dyDescent="0.25">
      <c r="A71">
        <v>70</v>
      </c>
      <c r="B71" t="s">
        <v>649</v>
      </c>
      <c r="C71" t="s">
        <v>657</v>
      </c>
      <c r="D71" t="s">
        <v>646</v>
      </c>
      <c r="E71" t="s">
        <v>651</v>
      </c>
      <c r="F71" t="s">
        <v>655</v>
      </c>
      <c r="G71">
        <v>72192</v>
      </c>
      <c r="H71">
        <v>14438</v>
      </c>
      <c r="I71">
        <v>7219</v>
      </c>
      <c r="J71">
        <v>6505</v>
      </c>
      <c r="K71">
        <v>100354</v>
      </c>
      <c r="L71">
        <v>8663</v>
      </c>
      <c r="M71">
        <v>10035</v>
      </c>
      <c r="N71">
        <v>81656</v>
      </c>
    </row>
    <row r="72" spans="1:14" x14ac:dyDescent="0.25">
      <c r="A72">
        <v>71</v>
      </c>
      <c r="B72" t="s">
        <v>234</v>
      </c>
      <c r="C72" t="s">
        <v>645</v>
      </c>
      <c r="D72" t="s">
        <v>646</v>
      </c>
      <c r="E72" t="s">
        <v>651</v>
      </c>
      <c r="F72" t="s">
        <v>643</v>
      </c>
      <c r="G72">
        <v>25713</v>
      </c>
      <c r="H72">
        <v>5142</v>
      </c>
      <c r="I72">
        <v>2571</v>
      </c>
      <c r="J72">
        <v>7926</v>
      </c>
      <c r="K72">
        <v>41352</v>
      </c>
      <c r="L72">
        <v>3085</v>
      </c>
      <c r="M72">
        <v>4135</v>
      </c>
      <c r="N72">
        <v>34132</v>
      </c>
    </row>
    <row r="73" spans="1:14" x14ac:dyDescent="0.25">
      <c r="A73">
        <v>72</v>
      </c>
      <c r="B73" t="s">
        <v>700</v>
      </c>
      <c r="C73" t="s">
        <v>677</v>
      </c>
      <c r="D73" t="s">
        <v>646</v>
      </c>
      <c r="E73" t="s">
        <v>660</v>
      </c>
      <c r="F73" t="s">
        <v>117</v>
      </c>
      <c r="G73">
        <v>54929</v>
      </c>
      <c r="H73">
        <v>10985</v>
      </c>
      <c r="I73">
        <v>5492</v>
      </c>
      <c r="J73">
        <v>4242</v>
      </c>
      <c r="K73">
        <v>75648</v>
      </c>
      <c r="L73">
        <v>6591</v>
      </c>
      <c r="M73">
        <v>7564</v>
      </c>
      <c r="N73">
        <v>61493</v>
      </c>
    </row>
    <row r="74" spans="1:14" x14ac:dyDescent="0.25">
      <c r="A74">
        <v>73</v>
      </c>
      <c r="B74" t="s">
        <v>611</v>
      </c>
      <c r="C74" t="s">
        <v>679</v>
      </c>
      <c r="D74" t="s">
        <v>641</v>
      </c>
      <c r="E74" t="s">
        <v>642</v>
      </c>
      <c r="F74" t="s">
        <v>643</v>
      </c>
      <c r="G74">
        <v>70564</v>
      </c>
      <c r="H74">
        <v>14112</v>
      </c>
      <c r="I74">
        <v>7056</v>
      </c>
      <c r="J74">
        <v>9182</v>
      </c>
      <c r="K74">
        <v>100914</v>
      </c>
      <c r="L74">
        <v>8467</v>
      </c>
      <c r="M74">
        <v>10091</v>
      </c>
      <c r="N74">
        <v>82356</v>
      </c>
    </row>
    <row r="75" spans="1:14" x14ac:dyDescent="0.25">
      <c r="A75">
        <v>74</v>
      </c>
      <c r="B75" t="s">
        <v>128</v>
      </c>
      <c r="C75" t="s">
        <v>664</v>
      </c>
      <c r="D75" t="s">
        <v>641</v>
      </c>
      <c r="E75" t="s">
        <v>642</v>
      </c>
      <c r="F75" t="s">
        <v>648</v>
      </c>
      <c r="G75">
        <v>79526</v>
      </c>
      <c r="H75">
        <v>15905</v>
      </c>
      <c r="I75">
        <v>7952</v>
      </c>
      <c r="J75">
        <v>6990</v>
      </c>
      <c r="K75">
        <v>110373</v>
      </c>
      <c r="L75">
        <v>9543</v>
      </c>
      <c r="M75">
        <v>11037</v>
      </c>
      <c r="N75">
        <v>89793</v>
      </c>
    </row>
    <row r="76" spans="1:14" x14ac:dyDescent="0.25">
      <c r="A76">
        <v>75</v>
      </c>
      <c r="B76" t="s">
        <v>687</v>
      </c>
      <c r="C76" t="s">
        <v>662</v>
      </c>
      <c r="D76" t="s">
        <v>646</v>
      </c>
      <c r="E76" t="s">
        <v>651</v>
      </c>
      <c r="F76" t="s">
        <v>661</v>
      </c>
      <c r="G76">
        <v>77565</v>
      </c>
      <c r="H76">
        <v>15513</v>
      </c>
      <c r="I76">
        <v>7756</v>
      </c>
      <c r="J76">
        <v>8360</v>
      </c>
      <c r="K76">
        <v>109194</v>
      </c>
      <c r="L76">
        <v>9307</v>
      </c>
      <c r="M76">
        <v>10919</v>
      </c>
      <c r="N76">
        <v>88968</v>
      </c>
    </row>
    <row r="77" spans="1:14" x14ac:dyDescent="0.25">
      <c r="A77">
        <v>76</v>
      </c>
      <c r="B77" t="s">
        <v>668</v>
      </c>
      <c r="C77" t="s">
        <v>666</v>
      </c>
      <c r="D77" t="s">
        <v>641</v>
      </c>
      <c r="E77" t="s">
        <v>651</v>
      </c>
      <c r="F77" t="s">
        <v>643</v>
      </c>
      <c r="G77">
        <v>25887</v>
      </c>
      <c r="H77">
        <v>5177</v>
      </c>
      <c r="I77">
        <v>2588</v>
      </c>
      <c r="J77">
        <v>9023</v>
      </c>
      <c r="K77">
        <v>42675</v>
      </c>
      <c r="L77">
        <v>3106</v>
      </c>
      <c r="M77">
        <v>4267</v>
      </c>
      <c r="N77">
        <v>35302</v>
      </c>
    </row>
    <row r="78" spans="1:14" x14ac:dyDescent="0.25">
      <c r="A78">
        <v>77</v>
      </c>
      <c r="B78" t="s">
        <v>128</v>
      </c>
      <c r="C78" t="s">
        <v>681</v>
      </c>
      <c r="D78" t="s">
        <v>641</v>
      </c>
      <c r="E78" t="s">
        <v>642</v>
      </c>
      <c r="F78" t="s">
        <v>655</v>
      </c>
      <c r="G78">
        <v>34264</v>
      </c>
      <c r="H78">
        <v>6852</v>
      </c>
      <c r="I78">
        <v>3426</v>
      </c>
      <c r="J78">
        <v>9643</v>
      </c>
      <c r="K78">
        <v>54185</v>
      </c>
      <c r="L78">
        <v>4111</v>
      </c>
      <c r="M78">
        <v>5418</v>
      </c>
      <c r="N78">
        <v>44656</v>
      </c>
    </row>
    <row r="79" spans="1:14" x14ac:dyDescent="0.25">
      <c r="A79">
        <v>78</v>
      </c>
      <c r="B79" t="s">
        <v>670</v>
      </c>
      <c r="C79" t="s">
        <v>664</v>
      </c>
      <c r="D79" t="s">
        <v>641</v>
      </c>
      <c r="E79" t="s">
        <v>647</v>
      </c>
      <c r="F79" t="s">
        <v>648</v>
      </c>
      <c r="G79">
        <v>52061</v>
      </c>
      <c r="H79">
        <v>10412</v>
      </c>
      <c r="I79">
        <v>5206</v>
      </c>
      <c r="J79">
        <v>6800</v>
      </c>
      <c r="K79">
        <v>74479</v>
      </c>
      <c r="L79">
        <v>6247</v>
      </c>
      <c r="M79">
        <v>7447</v>
      </c>
      <c r="N79">
        <v>60785</v>
      </c>
    </row>
    <row r="80" spans="1:14" x14ac:dyDescent="0.25">
      <c r="A80">
        <v>79</v>
      </c>
      <c r="B80" t="s">
        <v>699</v>
      </c>
      <c r="C80" t="s">
        <v>688</v>
      </c>
      <c r="D80" t="s">
        <v>641</v>
      </c>
      <c r="E80" t="s">
        <v>674</v>
      </c>
      <c r="F80" t="s">
        <v>648</v>
      </c>
      <c r="G80">
        <v>55880</v>
      </c>
      <c r="H80">
        <v>11176</v>
      </c>
      <c r="I80">
        <v>5588</v>
      </c>
      <c r="J80">
        <v>4176</v>
      </c>
      <c r="K80">
        <v>76820</v>
      </c>
      <c r="L80">
        <v>6705</v>
      </c>
      <c r="M80">
        <v>7682</v>
      </c>
      <c r="N80">
        <v>62433</v>
      </c>
    </row>
    <row r="81" spans="1:14" x14ac:dyDescent="0.25">
      <c r="A81">
        <v>80</v>
      </c>
      <c r="B81" t="s">
        <v>696</v>
      </c>
      <c r="C81" t="s">
        <v>662</v>
      </c>
      <c r="D81" t="s">
        <v>646</v>
      </c>
      <c r="E81" t="s">
        <v>660</v>
      </c>
      <c r="F81" t="s">
        <v>661</v>
      </c>
      <c r="G81">
        <v>44871</v>
      </c>
      <c r="H81">
        <v>8974</v>
      </c>
      <c r="I81">
        <v>4487</v>
      </c>
      <c r="J81">
        <v>3543</v>
      </c>
      <c r="K81">
        <v>61875</v>
      </c>
      <c r="L81">
        <v>5384</v>
      </c>
      <c r="M81">
        <v>6187</v>
      </c>
      <c r="N81">
        <v>50304</v>
      </c>
    </row>
    <row r="82" spans="1:14" x14ac:dyDescent="0.25">
      <c r="A82">
        <v>81</v>
      </c>
      <c r="B82" t="s">
        <v>685</v>
      </c>
      <c r="C82" t="s">
        <v>679</v>
      </c>
      <c r="D82" t="s">
        <v>646</v>
      </c>
      <c r="E82" t="s">
        <v>674</v>
      </c>
      <c r="F82" t="s">
        <v>655</v>
      </c>
      <c r="G82">
        <v>37428</v>
      </c>
      <c r="H82">
        <v>7485</v>
      </c>
      <c r="I82">
        <v>3742</v>
      </c>
      <c r="J82">
        <v>8568</v>
      </c>
      <c r="K82">
        <v>57223</v>
      </c>
      <c r="L82">
        <v>4491</v>
      </c>
      <c r="M82">
        <v>5722</v>
      </c>
      <c r="N82">
        <v>47010</v>
      </c>
    </row>
    <row r="83" spans="1:14" x14ac:dyDescent="0.25">
      <c r="A83">
        <v>82</v>
      </c>
      <c r="B83" t="s">
        <v>701</v>
      </c>
      <c r="C83" t="s">
        <v>654</v>
      </c>
      <c r="D83" t="s">
        <v>641</v>
      </c>
      <c r="E83" t="s">
        <v>119</v>
      </c>
      <c r="F83" t="s">
        <v>655</v>
      </c>
      <c r="G83">
        <v>58807</v>
      </c>
      <c r="H83">
        <v>11761</v>
      </c>
      <c r="I83">
        <v>5880</v>
      </c>
      <c r="J83">
        <v>6518</v>
      </c>
      <c r="K83">
        <v>82966</v>
      </c>
      <c r="L83">
        <v>7056</v>
      </c>
      <c r="M83">
        <v>8296</v>
      </c>
      <c r="N83">
        <v>67614</v>
      </c>
    </row>
    <row r="84" spans="1:14" x14ac:dyDescent="0.25">
      <c r="A84">
        <v>83</v>
      </c>
      <c r="B84" t="s">
        <v>678</v>
      </c>
      <c r="C84" t="s">
        <v>690</v>
      </c>
      <c r="D84" t="s">
        <v>641</v>
      </c>
      <c r="E84" t="s">
        <v>642</v>
      </c>
      <c r="F84" t="s">
        <v>648</v>
      </c>
      <c r="G84">
        <v>65463</v>
      </c>
      <c r="H84">
        <v>13092</v>
      </c>
      <c r="I84">
        <v>6546</v>
      </c>
      <c r="J84">
        <v>6107</v>
      </c>
      <c r="K84">
        <v>91208</v>
      </c>
      <c r="L84">
        <v>7855</v>
      </c>
      <c r="M84">
        <v>9120</v>
      </c>
      <c r="N84">
        <v>74233</v>
      </c>
    </row>
    <row r="85" spans="1:14" x14ac:dyDescent="0.25">
      <c r="A85">
        <v>84</v>
      </c>
      <c r="B85" t="s">
        <v>702</v>
      </c>
      <c r="C85" t="s">
        <v>659</v>
      </c>
      <c r="D85" t="s">
        <v>641</v>
      </c>
      <c r="E85" t="s">
        <v>660</v>
      </c>
      <c r="F85" t="s">
        <v>661</v>
      </c>
      <c r="G85">
        <v>44075</v>
      </c>
      <c r="H85">
        <v>8815</v>
      </c>
      <c r="I85">
        <v>4407</v>
      </c>
      <c r="J85">
        <v>9661</v>
      </c>
      <c r="K85">
        <v>66958</v>
      </c>
      <c r="L85">
        <v>5289</v>
      </c>
      <c r="M85">
        <v>6695</v>
      </c>
      <c r="N85">
        <v>54974</v>
      </c>
    </row>
    <row r="86" spans="1:14" x14ac:dyDescent="0.25">
      <c r="A86">
        <v>85</v>
      </c>
      <c r="B86" t="s">
        <v>695</v>
      </c>
      <c r="C86" t="s">
        <v>688</v>
      </c>
      <c r="D86" t="s">
        <v>641</v>
      </c>
      <c r="E86" t="s">
        <v>674</v>
      </c>
      <c r="F86" t="s">
        <v>648</v>
      </c>
      <c r="G86">
        <v>20701</v>
      </c>
      <c r="H86">
        <v>4140</v>
      </c>
      <c r="I86">
        <v>2070</v>
      </c>
      <c r="J86">
        <v>2014</v>
      </c>
      <c r="K86">
        <v>28925</v>
      </c>
      <c r="L86">
        <v>2484</v>
      </c>
      <c r="M86">
        <v>2892</v>
      </c>
      <c r="N86">
        <v>23549</v>
      </c>
    </row>
    <row r="87" spans="1:14" x14ac:dyDescent="0.25">
      <c r="A87">
        <v>86</v>
      </c>
      <c r="B87" t="s">
        <v>703</v>
      </c>
      <c r="C87" t="s">
        <v>654</v>
      </c>
      <c r="D87" t="s">
        <v>646</v>
      </c>
      <c r="E87" t="s">
        <v>660</v>
      </c>
      <c r="F87" t="s">
        <v>117</v>
      </c>
      <c r="G87">
        <v>50437</v>
      </c>
      <c r="H87">
        <v>10087</v>
      </c>
      <c r="I87">
        <v>5043</v>
      </c>
      <c r="J87">
        <v>5150</v>
      </c>
      <c r="K87">
        <v>70717</v>
      </c>
      <c r="L87">
        <v>6052</v>
      </c>
      <c r="M87">
        <v>7071</v>
      </c>
      <c r="N87">
        <v>57594</v>
      </c>
    </row>
    <row r="88" spans="1:14" x14ac:dyDescent="0.25">
      <c r="A88">
        <v>87</v>
      </c>
      <c r="B88" t="s">
        <v>692</v>
      </c>
      <c r="C88" t="s">
        <v>694</v>
      </c>
      <c r="D88" t="s">
        <v>641</v>
      </c>
      <c r="E88" t="s">
        <v>119</v>
      </c>
      <c r="F88" t="s">
        <v>652</v>
      </c>
      <c r="G88">
        <v>65347</v>
      </c>
      <c r="H88">
        <v>13069</v>
      </c>
      <c r="I88">
        <v>6534</v>
      </c>
      <c r="J88">
        <v>7333</v>
      </c>
      <c r="K88">
        <v>92283</v>
      </c>
      <c r="L88">
        <v>7841</v>
      </c>
      <c r="M88">
        <v>9228</v>
      </c>
      <c r="N88">
        <v>75214</v>
      </c>
    </row>
    <row r="89" spans="1:14" x14ac:dyDescent="0.25">
      <c r="A89">
        <v>88</v>
      </c>
      <c r="B89" t="s">
        <v>234</v>
      </c>
      <c r="C89" t="s">
        <v>688</v>
      </c>
      <c r="D89" t="s">
        <v>646</v>
      </c>
      <c r="E89" t="s">
        <v>660</v>
      </c>
      <c r="F89" t="s">
        <v>655</v>
      </c>
      <c r="G89">
        <v>57201</v>
      </c>
      <c r="H89">
        <v>11440</v>
      </c>
      <c r="I89">
        <v>5720</v>
      </c>
      <c r="J89">
        <v>8967</v>
      </c>
      <c r="K89">
        <v>83328</v>
      </c>
      <c r="L89">
        <v>6864</v>
      </c>
      <c r="M89">
        <v>8332</v>
      </c>
      <c r="N89">
        <v>68132</v>
      </c>
    </row>
    <row r="90" spans="1:14" x14ac:dyDescent="0.25">
      <c r="A90">
        <v>89</v>
      </c>
      <c r="B90" t="s">
        <v>676</v>
      </c>
      <c r="C90" t="s">
        <v>690</v>
      </c>
      <c r="D90" t="s">
        <v>646</v>
      </c>
      <c r="E90" t="s">
        <v>674</v>
      </c>
      <c r="F90" t="s">
        <v>661</v>
      </c>
      <c r="G90">
        <v>23348</v>
      </c>
      <c r="H90">
        <v>4669</v>
      </c>
      <c r="I90">
        <v>2334</v>
      </c>
      <c r="J90">
        <v>9674</v>
      </c>
      <c r="K90">
        <v>40025</v>
      </c>
      <c r="L90">
        <v>2801</v>
      </c>
      <c r="M90">
        <v>4002</v>
      </c>
      <c r="N90">
        <v>33222</v>
      </c>
    </row>
    <row r="91" spans="1:14" x14ac:dyDescent="0.25">
      <c r="A91">
        <v>90</v>
      </c>
      <c r="B91" t="s">
        <v>698</v>
      </c>
      <c r="C91" t="s">
        <v>650</v>
      </c>
      <c r="D91" t="s">
        <v>641</v>
      </c>
      <c r="E91" t="s">
        <v>642</v>
      </c>
      <c r="F91" t="s">
        <v>661</v>
      </c>
      <c r="G91">
        <v>47602</v>
      </c>
      <c r="H91">
        <v>9520</v>
      </c>
      <c r="I91">
        <v>4760</v>
      </c>
      <c r="J91">
        <v>3250</v>
      </c>
      <c r="K91">
        <v>65132</v>
      </c>
      <c r="L91">
        <v>5712</v>
      </c>
      <c r="M91">
        <v>6513</v>
      </c>
      <c r="N91">
        <v>52907</v>
      </c>
    </row>
    <row r="92" spans="1:14" x14ac:dyDescent="0.25">
      <c r="A92">
        <v>91</v>
      </c>
      <c r="B92" t="s">
        <v>123</v>
      </c>
      <c r="C92" t="s">
        <v>686</v>
      </c>
      <c r="D92" t="s">
        <v>646</v>
      </c>
      <c r="E92" t="s">
        <v>647</v>
      </c>
      <c r="F92" t="s">
        <v>643</v>
      </c>
      <c r="G92">
        <v>59553</v>
      </c>
      <c r="H92">
        <v>11910</v>
      </c>
      <c r="I92">
        <v>5955</v>
      </c>
      <c r="J92">
        <v>5930</v>
      </c>
      <c r="K92">
        <v>83348</v>
      </c>
      <c r="L92">
        <v>7146</v>
      </c>
      <c r="M92">
        <v>8334</v>
      </c>
      <c r="N92">
        <v>67868</v>
      </c>
    </row>
    <row r="93" spans="1:14" x14ac:dyDescent="0.25">
      <c r="A93">
        <v>92</v>
      </c>
      <c r="B93" t="s">
        <v>687</v>
      </c>
      <c r="C93" t="s">
        <v>654</v>
      </c>
      <c r="D93" t="s">
        <v>646</v>
      </c>
      <c r="E93" t="s">
        <v>647</v>
      </c>
      <c r="F93" t="s">
        <v>643</v>
      </c>
      <c r="G93">
        <v>49760</v>
      </c>
      <c r="H93">
        <v>9952</v>
      </c>
      <c r="I93">
        <v>4976</v>
      </c>
      <c r="J93">
        <v>8137</v>
      </c>
      <c r="K93">
        <v>72825</v>
      </c>
      <c r="L93">
        <v>5971</v>
      </c>
      <c r="M93">
        <v>7282</v>
      </c>
      <c r="N93">
        <v>59572</v>
      </c>
    </row>
    <row r="94" spans="1:14" x14ac:dyDescent="0.25">
      <c r="A94">
        <v>93</v>
      </c>
      <c r="B94" t="s">
        <v>656</v>
      </c>
      <c r="C94" t="s">
        <v>650</v>
      </c>
      <c r="D94" t="s">
        <v>641</v>
      </c>
      <c r="E94" t="s">
        <v>660</v>
      </c>
      <c r="F94" t="s">
        <v>652</v>
      </c>
      <c r="G94">
        <v>75458</v>
      </c>
      <c r="H94">
        <v>15091</v>
      </c>
      <c r="I94">
        <v>7545</v>
      </c>
      <c r="J94">
        <v>2729</v>
      </c>
      <c r="K94">
        <v>100823</v>
      </c>
      <c r="L94">
        <v>9054</v>
      </c>
      <c r="M94">
        <v>10082</v>
      </c>
      <c r="N94">
        <v>81687</v>
      </c>
    </row>
    <row r="95" spans="1:14" x14ac:dyDescent="0.25">
      <c r="A95">
        <v>94</v>
      </c>
      <c r="B95" t="s">
        <v>611</v>
      </c>
      <c r="C95" t="s">
        <v>683</v>
      </c>
      <c r="D95" t="s">
        <v>641</v>
      </c>
      <c r="E95" t="s">
        <v>651</v>
      </c>
      <c r="F95" t="s">
        <v>117</v>
      </c>
      <c r="G95">
        <v>64799</v>
      </c>
      <c r="H95">
        <v>12959</v>
      </c>
      <c r="I95">
        <v>6479</v>
      </c>
      <c r="J95">
        <v>9314</v>
      </c>
      <c r="K95">
        <v>93551</v>
      </c>
      <c r="L95">
        <v>7775</v>
      </c>
      <c r="M95">
        <v>9355</v>
      </c>
      <c r="N95">
        <v>76421</v>
      </c>
    </row>
    <row r="96" spans="1:14" x14ac:dyDescent="0.25">
      <c r="A96">
        <v>95</v>
      </c>
      <c r="B96" t="s">
        <v>687</v>
      </c>
      <c r="C96" t="s">
        <v>640</v>
      </c>
      <c r="D96" t="s">
        <v>646</v>
      </c>
      <c r="E96" t="s">
        <v>642</v>
      </c>
      <c r="F96" t="s">
        <v>652</v>
      </c>
      <c r="G96">
        <v>66819</v>
      </c>
      <c r="H96">
        <v>13363</v>
      </c>
      <c r="I96">
        <v>6681</v>
      </c>
      <c r="J96">
        <v>5844</v>
      </c>
      <c r="K96">
        <v>92707</v>
      </c>
      <c r="L96">
        <v>8018</v>
      </c>
      <c r="M96">
        <v>9270</v>
      </c>
      <c r="N96">
        <v>75419</v>
      </c>
    </row>
    <row r="97" spans="1:14" x14ac:dyDescent="0.25">
      <c r="A97">
        <v>96</v>
      </c>
      <c r="B97" t="s">
        <v>685</v>
      </c>
      <c r="C97" t="s">
        <v>654</v>
      </c>
      <c r="D97" t="s">
        <v>646</v>
      </c>
      <c r="E97" t="s">
        <v>119</v>
      </c>
      <c r="F97" t="s">
        <v>648</v>
      </c>
      <c r="G97">
        <v>44954</v>
      </c>
      <c r="H97">
        <v>8990</v>
      </c>
      <c r="I97">
        <v>4495</v>
      </c>
      <c r="J97">
        <v>2259</v>
      </c>
      <c r="K97">
        <v>60698</v>
      </c>
      <c r="L97">
        <v>5394</v>
      </c>
      <c r="M97">
        <v>6069</v>
      </c>
      <c r="N97">
        <v>49235</v>
      </c>
    </row>
    <row r="98" spans="1:14" x14ac:dyDescent="0.25">
      <c r="A98">
        <v>97</v>
      </c>
      <c r="B98" t="s">
        <v>703</v>
      </c>
      <c r="C98" t="s">
        <v>650</v>
      </c>
      <c r="D98" t="s">
        <v>646</v>
      </c>
      <c r="E98" t="s">
        <v>660</v>
      </c>
      <c r="F98" t="s">
        <v>648</v>
      </c>
      <c r="G98">
        <v>73201</v>
      </c>
      <c r="H98">
        <v>14640</v>
      </c>
      <c r="I98">
        <v>7320</v>
      </c>
      <c r="J98">
        <v>9948</v>
      </c>
      <c r="K98">
        <v>105109</v>
      </c>
      <c r="L98">
        <v>8784</v>
      </c>
      <c r="M98">
        <v>10510</v>
      </c>
      <c r="N98">
        <v>85815</v>
      </c>
    </row>
    <row r="99" spans="1:14" x14ac:dyDescent="0.25">
      <c r="A99">
        <v>98</v>
      </c>
      <c r="B99" t="s">
        <v>663</v>
      </c>
      <c r="C99" t="s">
        <v>666</v>
      </c>
      <c r="D99" t="s">
        <v>641</v>
      </c>
      <c r="E99" t="s">
        <v>647</v>
      </c>
      <c r="F99" t="s">
        <v>117</v>
      </c>
      <c r="G99">
        <v>20313</v>
      </c>
      <c r="H99">
        <v>4062</v>
      </c>
      <c r="I99">
        <v>2031</v>
      </c>
      <c r="J99">
        <v>6573</v>
      </c>
      <c r="K99">
        <v>32979</v>
      </c>
      <c r="L99">
        <v>2437</v>
      </c>
      <c r="M99">
        <v>3297</v>
      </c>
      <c r="N99">
        <v>27245</v>
      </c>
    </row>
    <row r="100" spans="1:14" x14ac:dyDescent="0.25">
      <c r="A100">
        <v>99</v>
      </c>
      <c r="B100" t="s">
        <v>704</v>
      </c>
      <c r="C100" t="s">
        <v>681</v>
      </c>
      <c r="D100" t="s">
        <v>641</v>
      </c>
      <c r="E100" t="s">
        <v>642</v>
      </c>
      <c r="F100" t="s">
        <v>648</v>
      </c>
      <c r="G100">
        <v>41685</v>
      </c>
      <c r="H100">
        <v>8337</v>
      </c>
      <c r="I100">
        <v>4168</v>
      </c>
      <c r="J100">
        <v>9202</v>
      </c>
      <c r="K100">
        <v>63392</v>
      </c>
      <c r="L100">
        <v>5002</v>
      </c>
      <c r="M100">
        <v>6339</v>
      </c>
      <c r="N100">
        <v>52051</v>
      </c>
    </row>
    <row r="101" spans="1:14" x14ac:dyDescent="0.25">
      <c r="A101">
        <v>100</v>
      </c>
      <c r="B101" t="s">
        <v>703</v>
      </c>
      <c r="C101" t="s">
        <v>683</v>
      </c>
      <c r="D101" t="s">
        <v>646</v>
      </c>
      <c r="E101" t="s">
        <v>119</v>
      </c>
      <c r="F101" t="s">
        <v>652</v>
      </c>
      <c r="G101">
        <v>54298</v>
      </c>
      <c r="H101">
        <v>10859</v>
      </c>
      <c r="I101">
        <v>5429</v>
      </c>
      <c r="J101">
        <v>9879</v>
      </c>
      <c r="K101">
        <v>80465</v>
      </c>
      <c r="L101">
        <v>6515</v>
      </c>
      <c r="M101">
        <v>8046</v>
      </c>
      <c r="N101">
        <v>65904</v>
      </c>
    </row>
  </sheetData>
  <sortState ref="A2:N101">
    <sortCondition ref="A2:A101"/>
  </sortState>
  <dataValidations count="1">
    <dataValidation type="list" allowBlank="1" showInputMessage="1" showErrorMessage="1" sqref="P9">
      <formula1>$E$2:$E$101</formula1>
    </dataValidation>
  </dataValidation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1"/>
  <sheetViews>
    <sheetView workbookViewId="0">
      <selection activeCell="K16" sqref="K16"/>
    </sheetView>
  </sheetViews>
  <sheetFormatPr defaultRowHeight="15" x14ac:dyDescent="0.25"/>
  <cols>
    <col min="1" max="1" width="12.7109375" bestFit="1" customWidth="1"/>
    <col min="2" max="2" width="16" bestFit="1" customWidth="1"/>
    <col min="3" max="3" width="7.5703125" bestFit="1" customWidth="1"/>
    <col min="4" max="4" width="15.5703125" bestFit="1" customWidth="1"/>
  </cols>
  <sheetData>
    <row r="1" spans="1:4" x14ac:dyDescent="0.25">
      <c r="A1" t="s">
        <v>627</v>
      </c>
      <c r="B1" t="s">
        <v>19</v>
      </c>
      <c r="C1" t="s">
        <v>138</v>
      </c>
      <c r="D1" t="s">
        <v>809</v>
      </c>
    </row>
    <row r="2" spans="1:4" x14ac:dyDescent="0.25">
      <c r="A2">
        <v>1</v>
      </c>
      <c r="B2" t="s">
        <v>25</v>
      </c>
      <c r="C2" t="s">
        <v>641</v>
      </c>
      <c r="D2">
        <v>6598546587</v>
      </c>
    </row>
    <row r="3" spans="1:4" x14ac:dyDescent="0.25">
      <c r="A3">
        <v>2</v>
      </c>
      <c r="B3" t="s">
        <v>710</v>
      </c>
      <c r="C3" t="s">
        <v>646</v>
      </c>
    </row>
    <row r="4" spans="1:4" x14ac:dyDescent="0.25">
      <c r="A4">
        <v>3</v>
      </c>
      <c r="B4" t="s">
        <v>711</v>
      </c>
      <c r="C4" t="s">
        <v>646</v>
      </c>
    </row>
    <row r="5" spans="1:4" x14ac:dyDescent="0.25">
      <c r="A5">
        <v>4</v>
      </c>
      <c r="B5" t="s">
        <v>712</v>
      </c>
      <c r="C5" t="s">
        <v>641</v>
      </c>
    </row>
    <row r="6" spans="1:4" x14ac:dyDescent="0.25">
      <c r="A6">
        <v>5</v>
      </c>
      <c r="B6" t="s">
        <v>713</v>
      </c>
      <c r="C6" t="s">
        <v>641</v>
      </c>
    </row>
    <row r="7" spans="1:4" x14ac:dyDescent="0.25">
      <c r="A7">
        <v>6</v>
      </c>
      <c r="B7" t="s">
        <v>714</v>
      </c>
      <c r="C7" t="s">
        <v>641</v>
      </c>
    </row>
    <row r="8" spans="1:4" x14ac:dyDescent="0.25">
      <c r="A8">
        <v>7</v>
      </c>
      <c r="B8" t="s">
        <v>715</v>
      </c>
      <c r="C8" t="s">
        <v>641</v>
      </c>
    </row>
    <row r="9" spans="1:4" x14ac:dyDescent="0.25">
      <c r="A9">
        <v>8</v>
      </c>
      <c r="B9" t="s">
        <v>716</v>
      </c>
      <c r="C9" t="s">
        <v>641</v>
      </c>
    </row>
    <row r="10" spans="1:4" x14ac:dyDescent="0.25">
      <c r="A10">
        <v>9</v>
      </c>
      <c r="B10" t="s">
        <v>717</v>
      </c>
      <c r="C10" t="s">
        <v>646</v>
      </c>
    </row>
    <row r="11" spans="1:4" x14ac:dyDescent="0.25">
      <c r="A11">
        <v>10</v>
      </c>
      <c r="B11" t="s">
        <v>718</v>
      </c>
      <c r="C11" t="s">
        <v>641</v>
      </c>
    </row>
    <row r="12" spans="1:4" x14ac:dyDescent="0.25">
      <c r="A12">
        <v>11</v>
      </c>
      <c r="B12" t="s">
        <v>719</v>
      </c>
      <c r="C12" t="s">
        <v>646</v>
      </c>
    </row>
    <row r="13" spans="1:4" x14ac:dyDescent="0.25">
      <c r="A13">
        <v>12</v>
      </c>
      <c r="B13" t="s">
        <v>720</v>
      </c>
      <c r="C13" t="s">
        <v>641</v>
      </c>
    </row>
    <row r="14" spans="1:4" x14ac:dyDescent="0.25">
      <c r="A14">
        <v>13</v>
      </c>
      <c r="B14" t="s">
        <v>721</v>
      </c>
      <c r="C14" t="s">
        <v>646</v>
      </c>
    </row>
    <row r="15" spans="1:4" x14ac:dyDescent="0.25">
      <c r="A15">
        <v>14</v>
      </c>
      <c r="B15" t="s">
        <v>722</v>
      </c>
      <c r="C15" t="s">
        <v>641</v>
      </c>
    </row>
    <row r="16" spans="1:4" x14ac:dyDescent="0.25">
      <c r="A16">
        <v>15</v>
      </c>
      <c r="B16" t="s">
        <v>723</v>
      </c>
      <c r="C16" t="s">
        <v>646</v>
      </c>
    </row>
    <row r="17" spans="1:3" x14ac:dyDescent="0.25">
      <c r="A17">
        <v>16</v>
      </c>
      <c r="B17" t="s">
        <v>724</v>
      </c>
      <c r="C17" t="s">
        <v>641</v>
      </c>
    </row>
    <row r="18" spans="1:3" x14ac:dyDescent="0.25">
      <c r="A18">
        <v>17</v>
      </c>
      <c r="B18" t="s">
        <v>725</v>
      </c>
      <c r="C18" t="s">
        <v>646</v>
      </c>
    </row>
    <row r="19" spans="1:3" x14ac:dyDescent="0.25">
      <c r="A19">
        <v>18</v>
      </c>
      <c r="B19" t="s">
        <v>726</v>
      </c>
      <c r="C19" t="s">
        <v>646</v>
      </c>
    </row>
    <row r="20" spans="1:3" x14ac:dyDescent="0.25">
      <c r="A20">
        <v>19</v>
      </c>
      <c r="B20" t="s">
        <v>727</v>
      </c>
      <c r="C20" t="s">
        <v>646</v>
      </c>
    </row>
    <row r="21" spans="1:3" x14ac:dyDescent="0.25">
      <c r="A21">
        <v>20</v>
      </c>
      <c r="B21" t="s">
        <v>728</v>
      </c>
      <c r="C21" t="s">
        <v>641</v>
      </c>
    </row>
    <row r="22" spans="1:3" x14ac:dyDescent="0.25">
      <c r="A22">
        <v>21</v>
      </c>
      <c r="B22" t="s">
        <v>729</v>
      </c>
      <c r="C22" t="s">
        <v>641</v>
      </c>
    </row>
    <row r="23" spans="1:3" x14ac:dyDescent="0.25">
      <c r="A23">
        <v>22</v>
      </c>
      <c r="B23" t="s">
        <v>730</v>
      </c>
      <c r="C23" t="s">
        <v>646</v>
      </c>
    </row>
    <row r="24" spans="1:3" x14ac:dyDescent="0.25">
      <c r="A24">
        <v>23</v>
      </c>
      <c r="B24" t="s">
        <v>731</v>
      </c>
      <c r="C24" t="s">
        <v>646</v>
      </c>
    </row>
    <row r="25" spans="1:3" x14ac:dyDescent="0.25">
      <c r="A25">
        <v>24</v>
      </c>
      <c r="B25" t="s">
        <v>732</v>
      </c>
      <c r="C25" t="s">
        <v>641</v>
      </c>
    </row>
    <row r="26" spans="1:3" x14ac:dyDescent="0.25">
      <c r="A26">
        <v>25</v>
      </c>
      <c r="B26" t="s">
        <v>733</v>
      </c>
      <c r="C26" t="s">
        <v>641</v>
      </c>
    </row>
    <row r="27" spans="1:3" x14ac:dyDescent="0.25">
      <c r="A27">
        <v>26</v>
      </c>
      <c r="B27" t="s">
        <v>734</v>
      </c>
      <c r="C27" t="s">
        <v>646</v>
      </c>
    </row>
    <row r="28" spans="1:3" x14ac:dyDescent="0.25">
      <c r="A28">
        <v>27</v>
      </c>
      <c r="B28" t="s">
        <v>735</v>
      </c>
      <c r="C28" t="s">
        <v>641</v>
      </c>
    </row>
    <row r="29" spans="1:3" x14ac:dyDescent="0.25">
      <c r="A29">
        <v>28</v>
      </c>
      <c r="B29" t="s">
        <v>736</v>
      </c>
      <c r="C29" t="s">
        <v>641</v>
      </c>
    </row>
    <row r="30" spans="1:3" x14ac:dyDescent="0.25">
      <c r="A30">
        <v>29</v>
      </c>
      <c r="B30" t="s">
        <v>737</v>
      </c>
      <c r="C30" t="s">
        <v>641</v>
      </c>
    </row>
    <row r="31" spans="1:3" x14ac:dyDescent="0.25">
      <c r="A31">
        <v>30</v>
      </c>
      <c r="B31" t="s">
        <v>738</v>
      </c>
      <c r="C31" t="s">
        <v>641</v>
      </c>
    </row>
    <row r="32" spans="1:3" x14ac:dyDescent="0.25">
      <c r="A32">
        <v>31</v>
      </c>
      <c r="B32" t="s">
        <v>739</v>
      </c>
      <c r="C32" t="s">
        <v>641</v>
      </c>
    </row>
    <row r="33" spans="1:3" x14ac:dyDescent="0.25">
      <c r="A33">
        <v>32</v>
      </c>
      <c r="B33" t="s">
        <v>740</v>
      </c>
      <c r="C33" t="s">
        <v>646</v>
      </c>
    </row>
    <row r="34" spans="1:3" x14ac:dyDescent="0.25">
      <c r="A34">
        <v>33</v>
      </c>
      <c r="B34" t="s">
        <v>741</v>
      </c>
      <c r="C34" t="s">
        <v>641</v>
      </c>
    </row>
    <row r="35" spans="1:3" x14ac:dyDescent="0.25">
      <c r="A35">
        <v>34</v>
      </c>
      <c r="B35" t="s">
        <v>742</v>
      </c>
      <c r="C35" t="s">
        <v>646</v>
      </c>
    </row>
    <row r="36" spans="1:3" x14ac:dyDescent="0.25">
      <c r="A36">
        <v>35</v>
      </c>
      <c r="B36" t="s">
        <v>743</v>
      </c>
      <c r="C36" t="s">
        <v>646</v>
      </c>
    </row>
    <row r="37" spans="1:3" x14ac:dyDescent="0.25">
      <c r="A37">
        <v>36</v>
      </c>
      <c r="B37" t="s">
        <v>744</v>
      </c>
      <c r="C37" t="s">
        <v>641</v>
      </c>
    </row>
    <row r="38" spans="1:3" x14ac:dyDescent="0.25">
      <c r="A38">
        <v>37</v>
      </c>
      <c r="B38" t="s">
        <v>745</v>
      </c>
      <c r="C38" t="s">
        <v>641</v>
      </c>
    </row>
    <row r="39" spans="1:3" x14ac:dyDescent="0.25">
      <c r="A39">
        <v>38</v>
      </c>
      <c r="B39" t="s">
        <v>746</v>
      </c>
      <c r="C39" t="s">
        <v>646</v>
      </c>
    </row>
    <row r="40" spans="1:3" x14ac:dyDescent="0.25">
      <c r="A40">
        <v>39</v>
      </c>
      <c r="B40" t="s">
        <v>747</v>
      </c>
      <c r="C40" t="s">
        <v>646</v>
      </c>
    </row>
    <row r="41" spans="1:3" x14ac:dyDescent="0.25">
      <c r="A41">
        <v>40</v>
      </c>
      <c r="B41" t="s">
        <v>748</v>
      </c>
      <c r="C41" t="s">
        <v>641</v>
      </c>
    </row>
    <row r="42" spans="1:3" x14ac:dyDescent="0.25">
      <c r="A42">
        <v>41</v>
      </c>
      <c r="B42" t="s">
        <v>749</v>
      </c>
      <c r="C42" t="s">
        <v>641</v>
      </c>
    </row>
    <row r="43" spans="1:3" x14ac:dyDescent="0.25">
      <c r="A43">
        <v>42</v>
      </c>
      <c r="B43" t="s">
        <v>750</v>
      </c>
      <c r="C43" t="s">
        <v>641</v>
      </c>
    </row>
    <row r="44" spans="1:3" x14ac:dyDescent="0.25">
      <c r="A44">
        <v>43</v>
      </c>
      <c r="B44" t="s">
        <v>751</v>
      </c>
      <c r="C44" t="s">
        <v>646</v>
      </c>
    </row>
    <row r="45" spans="1:3" x14ac:dyDescent="0.25">
      <c r="A45">
        <v>44</v>
      </c>
      <c r="B45" t="s">
        <v>752</v>
      </c>
      <c r="C45" t="s">
        <v>646</v>
      </c>
    </row>
    <row r="46" spans="1:3" x14ac:dyDescent="0.25">
      <c r="A46">
        <v>45</v>
      </c>
      <c r="B46" t="s">
        <v>753</v>
      </c>
      <c r="C46" t="s">
        <v>641</v>
      </c>
    </row>
    <row r="47" spans="1:3" x14ac:dyDescent="0.25">
      <c r="A47">
        <v>46</v>
      </c>
      <c r="B47" t="s">
        <v>754</v>
      </c>
      <c r="C47" t="s">
        <v>646</v>
      </c>
    </row>
    <row r="48" spans="1:3" x14ac:dyDescent="0.25">
      <c r="A48">
        <v>47</v>
      </c>
      <c r="B48" t="s">
        <v>755</v>
      </c>
      <c r="C48" t="s">
        <v>641</v>
      </c>
    </row>
    <row r="49" spans="1:3" x14ac:dyDescent="0.25">
      <c r="A49">
        <v>48</v>
      </c>
      <c r="B49" t="s">
        <v>756</v>
      </c>
      <c r="C49" t="s">
        <v>646</v>
      </c>
    </row>
    <row r="50" spans="1:3" x14ac:dyDescent="0.25">
      <c r="A50">
        <v>49</v>
      </c>
      <c r="B50" t="s">
        <v>757</v>
      </c>
      <c r="C50" t="s">
        <v>641</v>
      </c>
    </row>
    <row r="51" spans="1:3" x14ac:dyDescent="0.25">
      <c r="A51">
        <v>50</v>
      </c>
      <c r="B51" t="s">
        <v>758</v>
      </c>
      <c r="C51" t="s">
        <v>646</v>
      </c>
    </row>
    <row r="52" spans="1:3" x14ac:dyDescent="0.25">
      <c r="A52">
        <v>51</v>
      </c>
      <c r="B52" t="s">
        <v>759</v>
      </c>
      <c r="C52" t="s">
        <v>646</v>
      </c>
    </row>
    <row r="53" spans="1:3" x14ac:dyDescent="0.25">
      <c r="A53">
        <v>52</v>
      </c>
      <c r="B53" t="s">
        <v>760</v>
      </c>
      <c r="C53" t="s">
        <v>641</v>
      </c>
    </row>
    <row r="54" spans="1:3" x14ac:dyDescent="0.25">
      <c r="A54">
        <v>53</v>
      </c>
      <c r="B54" t="s">
        <v>761</v>
      </c>
      <c r="C54" t="s">
        <v>646</v>
      </c>
    </row>
    <row r="55" spans="1:3" x14ac:dyDescent="0.25">
      <c r="A55">
        <v>54</v>
      </c>
      <c r="B55" t="s">
        <v>762</v>
      </c>
      <c r="C55" t="s">
        <v>641</v>
      </c>
    </row>
    <row r="56" spans="1:3" x14ac:dyDescent="0.25">
      <c r="A56">
        <v>55</v>
      </c>
      <c r="B56" t="s">
        <v>763</v>
      </c>
      <c r="C56" t="s">
        <v>646</v>
      </c>
    </row>
    <row r="57" spans="1:3" x14ac:dyDescent="0.25">
      <c r="A57">
        <v>56</v>
      </c>
      <c r="B57" t="s">
        <v>764</v>
      </c>
      <c r="C57" t="s">
        <v>646</v>
      </c>
    </row>
    <row r="58" spans="1:3" x14ac:dyDescent="0.25">
      <c r="A58">
        <v>57</v>
      </c>
      <c r="B58" t="s">
        <v>765</v>
      </c>
      <c r="C58" t="s">
        <v>646</v>
      </c>
    </row>
    <row r="59" spans="1:3" x14ac:dyDescent="0.25">
      <c r="A59">
        <v>58</v>
      </c>
      <c r="B59" t="s">
        <v>766</v>
      </c>
      <c r="C59" t="s">
        <v>646</v>
      </c>
    </row>
    <row r="60" spans="1:3" x14ac:dyDescent="0.25">
      <c r="A60">
        <v>59</v>
      </c>
      <c r="B60" t="s">
        <v>767</v>
      </c>
      <c r="C60" t="s">
        <v>646</v>
      </c>
    </row>
    <row r="61" spans="1:3" x14ac:dyDescent="0.25">
      <c r="A61">
        <v>60</v>
      </c>
      <c r="B61" t="s">
        <v>768</v>
      </c>
      <c r="C61" t="s">
        <v>641</v>
      </c>
    </row>
    <row r="62" spans="1:3" x14ac:dyDescent="0.25">
      <c r="A62">
        <v>61</v>
      </c>
      <c r="B62" t="s">
        <v>769</v>
      </c>
      <c r="C62" t="s">
        <v>646</v>
      </c>
    </row>
    <row r="63" spans="1:3" x14ac:dyDescent="0.25">
      <c r="A63">
        <v>62</v>
      </c>
      <c r="B63" t="s">
        <v>770</v>
      </c>
      <c r="C63" t="s">
        <v>641</v>
      </c>
    </row>
    <row r="64" spans="1:3" x14ac:dyDescent="0.25">
      <c r="A64">
        <v>63</v>
      </c>
      <c r="B64" t="s">
        <v>771</v>
      </c>
      <c r="C64" t="s">
        <v>646</v>
      </c>
    </row>
    <row r="65" spans="1:3" x14ac:dyDescent="0.25">
      <c r="A65">
        <v>64</v>
      </c>
      <c r="B65" t="s">
        <v>772</v>
      </c>
      <c r="C65" t="s">
        <v>646</v>
      </c>
    </row>
    <row r="66" spans="1:3" x14ac:dyDescent="0.25">
      <c r="A66">
        <v>65</v>
      </c>
      <c r="B66" t="s">
        <v>773</v>
      </c>
      <c r="C66" t="s">
        <v>646</v>
      </c>
    </row>
    <row r="67" spans="1:3" x14ac:dyDescent="0.25">
      <c r="A67">
        <v>66</v>
      </c>
      <c r="B67" t="s">
        <v>774</v>
      </c>
      <c r="C67" t="s">
        <v>641</v>
      </c>
    </row>
    <row r="68" spans="1:3" x14ac:dyDescent="0.25">
      <c r="A68">
        <v>67</v>
      </c>
      <c r="B68" t="s">
        <v>775</v>
      </c>
      <c r="C68" t="s">
        <v>641</v>
      </c>
    </row>
    <row r="69" spans="1:3" x14ac:dyDescent="0.25">
      <c r="A69">
        <v>68</v>
      </c>
      <c r="B69" t="s">
        <v>776</v>
      </c>
      <c r="C69" t="s">
        <v>646</v>
      </c>
    </row>
    <row r="70" spans="1:3" x14ac:dyDescent="0.25">
      <c r="A70">
        <v>69</v>
      </c>
      <c r="B70" t="s">
        <v>777</v>
      </c>
      <c r="C70" t="s">
        <v>641</v>
      </c>
    </row>
    <row r="71" spans="1:3" x14ac:dyDescent="0.25">
      <c r="A71">
        <v>70</v>
      </c>
      <c r="B71" t="s">
        <v>778</v>
      </c>
      <c r="C71" t="s">
        <v>646</v>
      </c>
    </row>
    <row r="72" spans="1:3" x14ac:dyDescent="0.25">
      <c r="A72">
        <v>71</v>
      </c>
      <c r="B72" t="s">
        <v>779</v>
      </c>
      <c r="C72" t="s">
        <v>646</v>
      </c>
    </row>
    <row r="73" spans="1:3" x14ac:dyDescent="0.25">
      <c r="A73">
        <v>72</v>
      </c>
      <c r="B73" t="s">
        <v>780</v>
      </c>
      <c r="C73" t="s">
        <v>646</v>
      </c>
    </row>
    <row r="74" spans="1:3" x14ac:dyDescent="0.25">
      <c r="A74">
        <v>73</v>
      </c>
      <c r="B74" t="s">
        <v>781</v>
      </c>
      <c r="C74" t="s">
        <v>641</v>
      </c>
    </row>
    <row r="75" spans="1:3" x14ac:dyDescent="0.25">
      <c r="A75">
        <v>74</v>
      </c>
      <c r="B75" t="s">
        <v>782</v>
      </c>
      <c r="C75" t="s">
        <v>641</v>
      </c>
    </row>
    <row r="76" spans="1:3" x14ac:dyDescent="0.25">
      <c r="A76">
        <v>75</v>
      </c>
      <c r="B76" t="s">
        <v>783</v>
      </c>
      <c r="C76" t="s">
        <v>646</v>
      </c>
    </row>
    <row r="77" spans="1:3" x14ac:dyDescent="0.25">
      <c r="A77">
        <v>76</v>
      </c>
      <c r="B77" t="s">
        <v>784</v>
      </c>
      <c r="C77" t="s">
        <v>641</v>
      </c>
    </row>
    <row r="78" spans="1:3" x14ac:dyDescent="0.25">
      <c r="A78">
        <v>77</v>
      </c>
      <c r="B78" t="s">
        <v>785</v>
      </c>
      <c r="C78" t="s">
        <v>641</v>
      </c>
    </row>
    <row r="79" spans="1:3" x14ac:dyDescent="0.25">
      <c r="A79">
        <v>78</v>
      </c>
      <c r="B79" t="s">
        <v>786</v>
      </c>
      <c r="C79" t="s">
        <v>641</v>
      </c>
    </row>
    <row r="80" spans="1:3" x14ac:dyDescent="0.25">
      <c r="A80">
        <v>79</v>
      </c>
      <c r="B80" t="s">
        <v>787</v>
      </c>
      <c r="C80" t="s">
        <v>641</v>
      </c>
    </row>
    <row r="81" spans="1:3" x14ac:dyDescent="0.25">
      <c r="A81">
        <v>80</v>
      </c>
      <c r="B81" t="s">
        <v>788</v>
      </c>
      <c r="C81" t="s">
        <v>646</v>
      </c>
    </row>
    <row r="82" spans="1:3" x14ac:dyDescent="0.25">
      <c r="A82">
        <v>81</v>
      </c>
      <c r="B82" t="s">
        <v>26</v>
      </c>
      <c r="C82" t="s">
        <v>646</v>
      </c>
    </row>
    <row r="83" spans="1:3" x14ac:dyDescent="0.25">
      <c r="A83">
        <v>82</v>
      </c>
      <c r="B83" t="s">
        <v>789</v>
      </c>
      <c r="C83" t="s">
        <v>641</v>
      </c>
    </row>
    <row r="84" spans="1:3" x14ac:dyDescent="0.25">
      <c r="A84">
        <v>83</v>
      </c>
      <c r="B84" t="s">
        <v>790</v>
      </c>
      <c r="C84" t="s">
        <v>641</v>
      </c>
    </row>
    <row r="85" spans="1:3" x14ac:dyDescent="0.25">
      <c r="A85">
        <v>84</v>
      </c>
      <c r="B85" t="s">
        <v>791</v>
      </c>
      <c r="C85" t="s">
        <v>641</v>
      </c>
    </row>
    <row r="86" spans="1:3" x14ac:dyDescent="0.25">
      <c r="A86">
        <v>85</v>
      </c>
      <c r="B86" t="s">
        <v>792</v>
      </c>
      <c r="C86" t="s">
        <v>641</v>
      </c>
    </row>
    <row r="87" spans="1:3" x14ac:dyDescent="0.25">
      <c r="A87">
        <v>86</v>
      </c>
      <c r="B87" t="s">
        <v>793</v>
      </c>
      <c r="C87" t="s">
        <v>646</v>
      </c>
    </row>
    <row r="88" spans="1:3" x14ac:dyDescent="0.25">
      <c r="A88">
        <v>87</v>
      </c>
      <c r="B88" t="s">
        <v>794</v>
      </c>
      <c r="C88" t="s">
        <v>641</v>
      </c>
    </row>
    <row r="89" spans="1:3" x14ac:dyDescent="0.25">
      <c r="A89">
        <v>88</v>
      </c>
      <c r="B89" t="s">
        <v>795</v>
      </c>
      <c r="C89" t="s">
        <v>646</v>
      </c>
    </row>
    <row r="90" spans="1:3" x14ac:dyDescent="0.25">
      <c r="A90">
        <v>89</v>
      </c>
      <c r="B90" t="s">
        <v>796</v>
      </c>
      <c r="C90" t="s">
        <v>646</v>
      </c>
    </row>
    <row r="91" spans="1:3" x14ac:dyDescent="0.25">
      <c r="A91">
        <v>90</v>
      </c>
      <c r="B91" t="s">
        <v>797</v>
      </c>
      <c r="C91" t="s">
        <v>641</v>
      </c>
    </row>
    <row r="92" spans="1:3" x14ac:dyDescent="0.25">
      <c r="A92">
        <v>91</v>
      </c>
      <c r="B92" t="s">
        <v>798</v>
      </c>
      <c r="C92" t="s">
        <v>646</v>
      </c>
    </row>
    <row r="93" spans="1:3" x14ac:dyDescent="0.25">
      <c r="A93">
        <v>92</v>
      </c>
      <c r="B93" t="s">
        <v>799</v>
      </c>
      <c r="C93" t="s">
        <v>646</v>
      </c>
    </row>
    <row r="94" spans="1:3" x14ac:dyDescent="0.25">
      <c r="A94">
        <v>93</v>
      </c>
      <c r="B94" t="s">
        <v>800</v>
      </c>
      <c r="C94" t="s">
        <v>641</v>
      </c>
    </row>
    <row r="95" spans="1:3" x14ac:dyDescent="0.25">
      <c r="A95">
        <v>94</v>
      </c>
      <c r="B95" t="s">
        <v>801</v>
      </c>
      <c r="C95" t="s">
        <v>641</v>
      </c>
    </row>
    <row r="96" spans="1:3" x14ac:dyDescent="0.25">
      <c r="A96">
        <v>95</v>
      </c>
      <c r="B96" t="s">
        <v>802</v>
      </c>
      <c r="C96" t="s">
        <v>646</v>
      </c>
    </row>
    <row r="97" spans="1:3" x14ac:dyDescent="0.25">
      <c r="A97">
        <v>96</v>
      </c>
      <c r="B97" t="s">
        <v>803</v>
      </c>
      <c r="C97" t="s">
        <v>646</v>
      </c>
    </row>
    <row r="98" spans="1:3" x14ac:dyDescent="0.25">
      <c r="A98">
        <v>97</v>
      </c>
      <c r="B98" t="s">
        <v>804</v>
      </c>
      <c r="C98" t="s">
        <v>646</v>
      </c>
    </row>
    <row r="99" spans="1:3" x14ac:dyDescent="0.25">
      <c r="A99">
        <v>98</v>
      </c>
      <c r="B99" t="s">
        <v>805</v>
      </c>
      <c r="C99" t="s">
        <v>641</v>
      </c>
    </row>
    <row r="100" spans="1:3" x14ac:dyDescent="0.25">
      <c r="A100">
        <v>99</v>
      </c>
      <c r="B100" t="s">
        <v>806</v>
      </c>
      <c r="C100" t="s">
        <v>641</v>
      </c>
    </row>
    <row r="101" spans="1:3" x14ac:dyDescent="0.25">
      <c r="A101">
        <v>100</v>
      </c>
      <c r="B101" t="s">
        <v>807</v>
      </c>
      <c r="C101" t="s">
        <v>646</v>
      </c>
    </row>
  </sheetData>
  <dataValidations count="2">
    <dataValidation type="list" allowBlank="1" showInputMessage="1" showErrorMessage="1" sqref="C2:C101">
      <formula1>"Male, Female"</formula1>
    </dataValidation>
    <dataValidation type="textLength" operator="equal" allowBlank="1" showInputMessage="1" showErrorMessage="1" error="Please enter only 10 digit mobile no." promptTitle="Please Enter 10 Digit Mobile No." prompt="10 Digit Mobile Number Only" sqref="D2:D101">
      <formula1>10</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66"/>
  <sheetViews>
    <sheetView workbookViewId="0">
      <selection sqref="A1:I366"/>
    </sheetView>
  </sheetViews>
  <sheetFormatPr defaultRowHeight="15" x14ac:dyDescent="0.25"/>
  <cols>
    <col min="1" max="1" width="15.5703125" bestFit="1" customWidth="1"/>
    <col min="2" max="2" width="11.85546875" bestFit="1" customWidth="1"/>
    <col min="3" max="3" width="18.42578125" bestFit="1" customWidth="1"/>
    <col min="4" max="4" width="9" bestFit="1" customWidth="1"/>
    <col min="5" max="5" width="22.85546875" bestFit="1" customWidth="1"/>
    <col min="6" max="6" width="17.42578125" bestFit="1" customWidth="1"/>
    <col min="7" max="7" width="7.7109375" bestFit="1" customWidth="1"/>
    <col min="8" max="8" width="5.85546875" bestFit="1" customWidth="1"/>
    <col min="9" max="9" width="6.5703125" bestFit="1" customWidth="1"/>
  </cols>
  <sheetData>
    <row r="1" spans="1:9" ht="15.75" x14ac:dyDescent="0.25">
      <c r="A1" s="55" t="s">
        <v>810</v>
      </c>
      <c r="B1" s="56" t="s">
        <v>811</v>
      </c>
      <c r="C1" s="55" t="s">
        <v>812</v>
      </c>
      <c r="D1" s="55" t="s">
        <v>813</v>
      </c>
      <c r="E1" s="55" t="s">
        <v>814</v>
      </c>
      <c r="F1" s="55" t="s">
        <v>202</v>
      </c>
      <c r="G1" s="55" t="s">
        <v>118</v>
      </c>
      <c r="H1" s="55" t="s">
        <v>119</v>
      </c>
      <c r="I1" s="55" t="s">
        <v>211</v>
      </c>
    </row>
    <row r="2" spans="1:9" x14ac:dyDescent="0.25">
      <c r="A2" s="1" t="s">
        <v>815</v>
      </c>
      <c r="B2" s="57">
        <v>43101</v>
      </c>
      <c r="C2" s="1" t="s">
        <v>816</v>
      </c>
      <c r="D2" s="1" t="s">
        <v>817</v>
      </c>
      <c r="E2" s="1" t="s">
        <v>818</v>
      </c>
      <c r="F2" s="1" t="s">
        <v>818</v>
      </c>
      <c r="G2" s="1" t="s">
        <v>819</v>
      </c>
      <c r="H2" s="1">
        <v>2934</v>
      </c>
      <c r="I2" s="1">
        <v>1819</v>
      </c>
    </row>
    <row r="3" spans="1:9" x14ac:dyDescent="0.25">
      <c r="A3" s="1" t="s">
        <v>820</v>
      </c>
      <c r="B3" s="57">
        <v>43102</v>
      </c>
      <c r="C3" s="1" t="s">
        <v>821</v>
      </c>
      <c r="D3" s="1" t="s">
        <v>817</v>
      </c>
      <c r="E3" s="1" t="s">
        <v>818</v>
      </c>
      <c r="F3" s="1" t="s">
        <v>818</v>
      </c>
      <c r="G3" s="1" t="s">
        <v>819</v>
      </c>
      <c r="H3" s="1">
        <v>4354</v>
      </c>
      <c r="I3" s="1">
        <v>2787</v>
      </c>
    </row>
    <row r="4" spans="1:9" x14ac:dyDescent="0.25">
      <c r="A4" s="1" t="s">
        <v>822</v>
      </c>
      <c r="B4" s="57">
        <v>43103</v>
      </c>
      <c r="C4" s="1" t="s">
        <v>823</v>
      </c>
      <c r="D4" s="1" t="s">
        <v>817</v>
      </c>
      <c r="E4" s="1" t="s">
        <v>818</v>
      </c>
      <c r="F4" s="1" t="s">
        <v>818</v>
      </c>
      <c r="G4" s="1" t="s">
        <v>819</v>
      </c>
      <c r="H4" s="1">
        <v>2102</v>
      </c>
      <c r="I4" s="1">
        <v>1534</v>
      </c>
    </row>
    <row r="5" spans="1:9" x14ac:dyDescent="0.25">
      <c r="A5" s="1" t="s">
        <v>824</v>
      </c>
      <c r="B5" s="57">
        <v>43104</v>
      </c>
      <c r="C5" s="1" t="s">
        <v>825</v>
      </c>
      <c r="D5" s="1" t="s">
        <v>826</v>
      </c>
      <c r="E5" s="1" t="s">
        <v>827</v>
      </c>
      <c r="F5" s="1" t="s">
        <v>828</v>
      </c>
      <c r="G5" s="1" t="s">
        <v>819</v>
      </c>
      <c r="H5" s="1">
        <v>3261</v>
      </c>
      <c r="I5" s="1">
        <v>2446</v>
      </c>
    </row>
    <row r="6" spans="1:9" x14ac:dyDescent="0.25">
      <c r="A6" s="1" t="s">
        <v>829</v>
      </c>
      <c r="B6" s="57">
        <v>43105</v>
      </c>
      <c r="C6" s="1" t="s">
        <v>830</v>
      </c>
      <c r="D6" s="1" t="s">
        <v>826</v>
      </c>
      <c r="E6" s="1" t="s">
        <v>827</v>
      </c>
      <c r="F6" s="1" t="s">
        <v>828</v>
      </c>
      <c r="G6" s="1" t="s">
        <v>819</v>
      </c>
      <c r="H6" s="1">
        <v>2577</v>
      </c>
      <c r="I6" s="1">
        <v>1907</v>
      </c>
    </row>
    <row r="7" spans="1:9" x14ac:dyDescent="0.25">
      <c r="A7" s="1" t="s">
        <v>831</v>
      </c>
      <c r="B7" s="57">
        <v>43106</v>
      </c>
      <c r="C7" s="1" t="s">
        <v>832</v>
      </c>
      <c r="D7" s="1" t="s">
        <v>826</v>
      </c>
      <c r="E7" s="1" t="s">
        <v>827</v>
      </c>
      <c r="F7" s="1" t="s">
        <v>828</v>
      </c>
      <c r="G7" s="1" t="s">
        <v>819</v>
      </c>
      <c r="H7" s="1">
        <v>3131</v>
      </c>
      <c r="I7" s="1">
        <v>1973</v>
      </c>
    </row>
    <row r="8" spans="1:9" x14ac:dyDescent="0.25">
      <c r="A8" s="1" t="s">
        <v>833</v>
      </c>
      <c r="B8" s="57">
        <v>43107</v>
      </c>
      <c r="C8" s="1" t="s">
        <v>834</v>
      </c>
      <c r="D8" s="1" t="s">
        <v>826</v>
      </c>
      <c r="E8" s="1" t="s">
        <v>827</v>
      </c>
      <c r="F8" s="1" t="s">
        <v>828</v>
      </c>
      <c r="G8" s="1" t="s">
        <v>819</v>
      </c>
      <c r="H8" s="1">
        <v>2683</v>
      </c>
      <c r="I8" s="1">
        <v>1798</v>
      </c>
    </row>
    <row r="9" spans="1:9" x14ac:dyDescent="0.25">
      <c r="A9" s="1" t="s">
        <v>835</v>
      </c>
      <c r="B9" s="57">
        <v>43108</v>
      </c>
      <c r="C9" s="1" t="s">
        <v>836</v>
      </c>
      <c r="D9" s="1" t="s">
        <v>826</v>
      </c>
      <c r="E9" s="1" t="s">
        <v>827</v>
      </c>
      <c r="F9" s="1" t="s">
        <v>828</v>
      </c>
      <c r="G9" s="1" t="s">
        <v>819</v>
      </c>
      <c r="H9" s="1">
        <v>2613</v>
      </c>
      <c r="I9" s="1">
        <v>1751</v>
      </c>
    </row>
    <row r="10" spans="1:9" x14ac:dyDescent="0.25">
      <c r="A10" s="1" t="s">
        <v>837</v>
      </c>
      <c r="B10" s="57">
        <v>43109</v>
      </c>
      <c r="C10" s="1" t="s">
        <v>838</v>
      </c>
      <c r="D10" s="1" t="s">
        <v>839</v>
      </c>
      <c r="E10" s="1" t="s">
        <v>840</v>
      </c>
      <c r="F10" s="1" t="s">
        <v>841</v>
      </c>
      <c r="G10" s="1" t="s">
        <v>85</v>
      </c>
      <c r="H10" s="1">
        <v>4076</v>
      </c>
      <c r="I10" s="1">
        <v>2609</v>
      </c>
    </row>
    <row r="11" spans="1:9" x14ac:dyDescent="0.25">
      <c r="A11" s="1" t="s">
        <v>842</v>
      </c>
      <c r="B11" s="57">
        <v>43110</v>
      </c>
      <c r="C11" s="1" t="s">
        <v>843</v>
      </c>
      <c r="D11" s="1" t="s">
        <v>844</v>
      </c>
      <c r="E11" s="1" t="s">
        <v>845</v>
      </c>
      <c r="F11" s="1" t="s">
        <v>846</v>
      </c>
      <c r="G11" s="1" t="s">
        <v>124</v>
      </c>
      <c r="H11" s="1">
        <v>4400</v>
      </c>
      <c r="I11" s="1">
        <v>3432</v>
      </c>
    </row>
    <row r="12" spans="1:9" x14ac:dyDescent="0.25">
      <c r="A12" s="1" t="s">
        <v>847</v>
      </c>
      <c r="B12" s="57">
        <v>43111</v>
      </c>
      <c r="C12" s="1" t="s">
        <v>848</v>
      </c>
      <c r="D12" s="1" t="s">
        <v>839</v>
      </c>
      <c r="E12" s="1" t="s">
        <v>849</v>
      </c>
      <c r="F12" s="1" t="s">
        <v>850</v>
      </c>
      <c r="G12" s="1" t="s">
        <v>85</v>
      </c>
      <c r="H12" s="1">
        <v>2466</v>
      </c>
      <c r="I12" s="1">
        <v>1603</v>
      </c>
    </row>
    <row r="13" spans="1:9" x14ac:dyDescent="0.25">
      <c r="A13" s="1" t="s">
        <v>851</v>
      </c>
      <c r="B13" s="57">
        <v>43112</v>
      </c>
      <c r="C13" s="1" t="s">
        <v>852</v>
      </c>
      <c r="D13" s="1" t="s">
        <v>853</v>
      </c>
      <c r="E13" s="1" t="s">
        <v>854</v>
      </c>
      <c r="F13" s="1" t="s">
        <v>232</v>
      </c>
      <c r="G13" s="1" t="s">
        <v>124</v>
      </c>
      <c r="H13" s="1">
        <v>2137</v>
      </c>
      <c r="I13" s="1">
        <v>1325</v>
      </c>
    </row>
    <row r="14" spans="1:9" x14ac:dyDescent="0.25">
      <c r="A14" s="1" t="s">
        <v>855</v>
      </c>
      <c r="B14" s="57">
        <v>43113</v>
      </c>
      <c r="C14" s="1" t="s">
        <v>856</v>
      </c>
      <c r="D14" s="1" t="s">
        <v>853</v>
      </c>
      <c r="E14" s="1" t="s">
        <v>857</v>
      </c>
      <c r="F14" s="1" t="s">
        <v>858</v>
      </c>
      <c r="G14" s="1" t="s">
        <v>124</v>
      </c>
      <c r="H14" s="1">
        <v>4216</v>
      </c>
      <c r="I14" s="1">
        <v>3162</v>
      </c>
    </row>
    <row r="15" spans="1:9" x14ac:dyDescent="0.25">
      <c r="A15" s="1" t="s">
        <v>859</v>
      </c>
      <c r="B15" s="57">
        <v>43114</v>
      </c>
      <c r="C15" s="1" t="s">
        <v>860</v>
      </c>
      <c r="D15" s="1" t="s">
        <v>853</v>
      </c>
      <c r="E15" s="1" t="s">
        <v>857</v>
      </c>
      <c r="F15" s="1" t="s">
        <v>858</v>
      </c>
      <c r="G15" s="1" t="s">
        <v>124</v>
      </c>
      <c r="H15" s="1">
        <v>3165</v>
      </c>
      <c r="I15" s="1">
        <v>2310</v>
      </c>
    </row>
    <row r="16" spans="1:9" x14ac:dyDescent="0.25">
      <c r="A16" s="1" t="s">
        <v>861</v>
      </c>
      <c r="B16" s="57">
        <v>43115</v>
      </c>
      <c r="C16" s="1" t="s">
        <v>862</v>
      </c>
      <c r="D16" s="1" t="s">
        <v>863</v>
      </c>
      <c r="E16" s="1" t="s">
        <v>864</v>
      </c>
      <c r="F16" s="1" t="s">
        <v>865</v>
      </c>
      <c r="G16" s="1" t="s">
        <v>819</v>
      </c>
      <c r="H16" s="1">
        <v>3263</v>
      </c>
      <c r="I16" s="1">
        <v>2545</v>
      </c>
    </row>
    <row r="17" spans="1:9" x14ac:dyDescent="0.25">
      <c r="A17" s="1" t="s">
        <v>866</v>
      </c>
      <c r="B17" s="57">
        <v>43116</v>
      </c>
      <c r="C17" s="1" t="s">
        <v>867</v>
      </c>
      <c r="D17" s="1" t="s">
        <v>826</v>
      </c>
      <c r="E17" s="1" t="s">
        <v>868</v>
      </c>
      <c r="F17" s="1" t="s">
        <v>869</v>
      </c>
      <c r="G17" s="1" t="s">
        <v>819</v>
      </c>
      <c r="H17" s="1">
        <v>2946</v>
      </c>
      <c r="I17" s="1">
        <v>2210</v>
      </c>
    </row>
    <row r="18" spans="1:9" x14ac:dyDescent="0.25">
      <c r="A18" s="1" t="s">
        <v>870</v>
      </c>
      <c r="B18" s="57">
        <v>43117</v>
      </c>
      <c r="C18" s="1" t="s">
        <v>871</v>
      </c>
      <c r="D18" s="1" t="s">
        <v>872</v>
      </c>
      <c r="E18" s="1" t="s">
        <v>873</v>
      </c>
      <c r="F18" s="1" t="s">
        <v>874</v>
      </c>
      <c r="G18" s="1" t="s">
        <v>819</v>
      </c>
      <c r="H18" s="1">
        <v>2989</v>
      </c>
      <c r="I18" s="1">
        <v>2212</v>
      </c>
    </row>
    <row r="19" spans="1:9" x14ac:dyDescent="0.25">
      <c r="A19" s="1" t="s">
        <v>875</v>
      </c>
      <c r="B19" s="57">
        <v>43118</v>
      </c>
      <c r="C19" s="1" t="s">
        <v>876</v>
      </c>
      <c r="D19" s="1" t="s">
        <v>872</v>
      </c>
      <c r="E19" s="1" t="s">
        <v>873</v>
      </c>
      <c r="F19" s="1" t="s">
        <v>874</v>
      </c>
      <c r="G19" s="1" t="s">
        <v>819</v>
      </c>
      <c r="H19" s="1">
        <v>3463</v>
      </c>
      <c r="I19" s="1">
        <v>2770</v>
      </c>
    </row>
    <row r="20" spans="1:9" x14ac:dyDescent="0.25">
      <c r="A20" s="1" t="s">
        <v>877</v>
      </c>
      <c r="B20" s="57">
        <v>43119</v>
      </c>
      <c r="C20" s="1" t="s">
        <v>878</v>
      </c>
      <c r="D20" s="1" t="s">
        <v>853</v>
      </c>
      <c r="E20" s="1" t="s">
        <v>854</v>
      </c>
      <c r="F20" s="1" t="s">
        <v>224</v>
      </c>
      <c r="G20" s="1" t="s">
        <v>124</v>
      </c>
      <c r="H20" s="1">
        <v>2677</v>
      </c>
      <c r="I20" s="1">
        <v>2088</v>
      </c>
    </row>
    <row r="21" spans="1:9" x14ac:dyDescent="0.25">
      <c r="A21" s="1" t="s">
        <v>879</v>
      </c>
      <c r="B21" s="57">
        <v>43120</v>
      </c>
      <c r="C21" s="1" t="s">
        <v>880</v>
      </c>
      <c r="D21" s="1" t="s">
        <v>853</v>
      </c>
      <c r="E21" s="1" t="s">
        <v>854</v>
      </c>
      <c r="F21" s="1" t="s">
        <v>224</v>
      </c>
      <c r="G21" s="1" t="s">
        <v>124</v>
      </c>
      <c r="H21" s="1">
        <v>2966</v>
      </c>
      <c r="I21" s="1">
        <v>1928</v>
      </c>
    </row>
    <row r="22" spans="1:9" x14ac:dyDescent="0.25">
      <c r="A22" s="1" t="s">
        <v>881</v>
      </c>
      <c r="B22" s="57">
        <v>43121</v>
      </c>
      <c r="C22" s="1" t="s">
        <v>882</v>
      </c>
      <c r="D22" s="1" t="s">
        <v>853</v>
      </c>
      <c r="E22" s="1" t="s">
        <v>854</v>
      </c>
      <c r="F22" s="1" t="s">
        <v>224</v>
      </c>
      <c r="G22" s="1" t="s">
        <v>124</v>
      </c>
      <c r="H22" s="1">
        <v>2106</v>
      </c>
      <c r="I22" s="1">
        <v>1516</v>
      </c>
    </row>
    <row r="23" spans="1:9" x14ac:dyDescent="0.25">
      <c r="A23" s="1" t="s">
        <v>815</v>
      </c>
      <c r="B23" s="57">
        <v>43122</v>
      </c>
      <c r="C23" s="1" t="s">
        <v>816</v>
      </c>
      <c r="D23" s="1" t="s">
        <v>817</v>
      </c>
      <c r="E23" s="1" t="s">
        <v>818</v>
      </c>
      <c r="F23" s="1" t="s">
        <v>818</v>
      </c>
      <c r="G23" s="1" t="s">
        <v>819</v>
      </c>
      <c r="H23" s="1">
        <v>3664</v>
      </c>
      <c r="I23" s="1">
        <v>2272</v>
      </c>
    </row>
    <row r="24" spans="1:9" x14ac:dyDescent="0.25">
      <c r="A24" s="1" t="s">
        <v>820</v>
      </c>
      <c r="B24" s="57">
        <v>43123</v>
      </c>
      <c r="C24" s="1" t="s">
        <v>821</v>
      </c>
      <c r="D24" s="1" t="s">
        <v>817</v>
      </c>
      <c r="E24" s="1" t="s">
        <v>818</v>
      </c>
      <c r="F24" s="1" t="s">
        <v>818</v>
      </c>
      <c r="G24" s="1" t="s">
        <v>819</v>
      </c>
      <c r="H24" s="1">
        <v>3069</v>
      </c>
      <c r="I24" s="1">
        <v>2240</v>
      </c>
    </row>
    <row r="25" spans="1:9" x14ac:dyDescent="0.25">
      <c r="A25" s="1" t="s">
        <v>822</v>
      </c>
      <c r="B25" s="57">
        <v>43124</v>
      </c>
      <c r="C25" s="1" t="s">
        <v>823</v>
      </c>
      <c r="D25" s="1" t="s">
        <v>817</v>
      </c>
      <c r="E25" s="1" t="s">
        <v>818</v>
      </c>
      <c r="F25" s="1" t="s">
        <v>818</v>
      </c>
      <c r="G25" s="1" t="s">
        <v>819</v>
      </c>
      <c r="H25" s="1">
        <v>3755</v>
      </c>
      <c r="I25" s="1">
        <v>2516</v>
      </c>
    </row>
    <row r="26" spans="1:9" x14ac:dyDescent="0.25">
      <c r="A26" s="1" t="s">
        <v>824</v>
      </c>
      <c r="B26" s="57">
        <v>43125</v>
      </c>
      <c r="C26" s="1" t="s">
        <v>825</v>
      </c>
      <c r="D26" s="1" t="s">
        <v>826</v>
      </c>
      <c r="E26" s="1" t="s">
        <v>827</v>
      </c>
      <c r="F26" s="1" t="s">
        <v>828</v>
      </c>
      <c r="G26" s="1" t="s">
        <v>819</v>
      </c>
      <c r="H26" s="1">
        <v>3215</v>
      </c>
      <c r="I26" s="1">
        <v>2058</v>
      </c>
    </row>
    <row r="27" spans="1:9" x14ac:dyDescent="0.25">
      <c r="A27" s="1" t="s">
        <v>829</v>
      </c>
      <c r="B27" s="57">
        <v>43126</v>
      </c>
      <c r="C27" s="1" t="s">
        <v>830</v>
      </c>
      <c r="D27" s="1" t="s">
        <v>826</v>
      </c>
      <c r="E27" s="1" t="s">
        <v>827</v>
      </c>
      <c r="F27" s="1" t="s">
        <v>828</v>
      </c>
      <c r="G27" s="1" t="s">
        <v>819</v>
      </c>
      <c r="H27" s="1">
        <v>3685</v>
      </c>
      <c r="I27" s="1">
        <v>2543</v>
      </c>
    </row>
    <row r="28" spans="1:9" x14ac:dyDescent="0.25">
      <c r="A28" s="1" t="s">
        <v>831</v>
      </c>
      <c r="B28" s="57">
        <v>43127</v>
      </c>
      <c r="C28" s="1" t="s">
        <v>832</v>
      </c>
      <c r="D28" s="1" t="s">
        <v>826</v>
      </c>
      <c r="E28" s="1" t="s">
        <v>827</v>
      </c>
      <c r="F28" s="1" t="s">
        <v>828</v>
      </c>
      <c r="G28" s="1" t="s">
        <v>819</v>
      </c>
      <c r="H28" s="1">
        <v>4015</v>
      </c>
      <c r="I28" s="1">
        <v>2730</v>
      </c>
    </row>
    <row r="29" spans="1:9" x14ac:dyDescent="0.25">
      <c r="A29" s="1" t="s">
        <v>833</v>
      </c>
      <c r="B29" s="57">
        <v>43128</v>
      </c>
      <c r="C29" s="1" t="s">
        <v>834</v>
      </c>
      <c r="D29" s="1" t="s">
        <v>826</v>
      </c>
      <c r="E29" s="1" t="s">
        <v>827</v>
      </c>
      <c r="F29" s="1" t="s">
        <v>828</v>
      </c>
      <c r="G29" s="1" t="s">
        <v>819</v>
      </c>
      <c r="H29" s="1">
        <v>2517</v>
      </c>
      <c r="I29" s="1">
        <v>1661</v>
      </c>
    </row>
    <row r="30" spans="1:9" x14ac:dyDescent="0.25">
      <c r="A30" s="1" t="s">
        <v>835</v>
      </c>
      <c r="B30" s="57">
        <v>43129</v>
      </c>
      <c r="C30" s="1" t="s">
        <v>836</v>
      </c>
      <c r="D30" s="1" t="s">
        <v>826</v>
      </c>
      <c r="E30" s="1" t="s">
        <v>827</v>
      </c>
      <c r="F30" s="1" t="s">
        <v>828</v>
      </c>
      <c r="G30" s="1" t="s">
        <v>819</v>
      </c>
      <c r="H30" s="1">
        <v>2598</v>
      </c>
      <c r="I30" s="1">
        <v>1793</v>
      </c>
    </row>
    <row r="31" spans="1:9" x14ac:dyDescent="0.25">
      <c r="A31" s="1" t="s">
        <v>837</v>
      </c>
      <c r="B31" s="57">
        <v>43130</v>
      </c>
      <c r="C31" s="1" t="s">
        <v>838</v>
      </c>
      <c r="D31" s="1" t="s">
        <v>839</v>
      </c>
      <c r="E31" s="1" t="s">
        <v>840</v>
      </c>
      <c r="F31" s="1" t="s">
        <v>841</v>
      </c>
      <c r="G31" s="1" t="s">
        <v>85</v>
      </c>
      <c r="H31" s="1">
        <v>3513</v>
      </c>
      <c r="I31" s="1">
        <v>2740</v>
      </c>
    </row>
    <row r="32" spans="1:9" x14ac:dyDescent="0.25">
      <c r="A32" s="1" t="s">
        <v>842</v>
      </c>
      <c r="B32" s="57">
        <v>43131</v>
      </c>
      <c r="C32" s="1" t="s">
        <v>843</v>
      </c>
      <c r="D32" s="1" t="s">
        <v>844</v>
      </c>
      <c r="E32" s="1" t="s">
        <v>845</v>
      </c>
      <c r="F32" s="1" t="s">
        <v>846</v>
      </c>
      <c r="G32" s="1" t="s">
        <v>124</v>
      </c>
      <c r="H32" s="1">
        <v>2247</v>
      </c>
      <c r="I32" s="1">
        <v>1775</v>
      </c>
    </row>
    <row r="33" spans="1:9" x14ac:dyDescent="0.25">
      <c r="A33" s="1" t="s">
        <v>847</v>
      </c>
      <c r="B33" s="57">
        <v>43132</v>
      </c>
      <c r="C33" s="1" t="s">
        <v>848</v>
      </c>
      <c r="D33" s="1" t="s">
        <v>839</v>
      </c>
      <c r="E33" s="1" t="s">
        <v>849</v>
      </c>
      <c r="F33" s="1" t="s">
        <v>850</v>
      </c>
      <c r="G33" s="1" t="s">
        <v>85</v>
      </c>
      <c r="H33" s="1">
        <v>2878</v>
      </c>
      <c r="I33" s="1">
        <v>1784</v>
      </c>
    </row>
    <row r="34" spans="1:9" x14ac:dyDescent="0.25">
      <c r="A34" s="1" t="s">
        <v>851</v>
      </c>
      <c r="B34" s="57">
        <v>43133</v>
      </c>
      <c r="C34" s="1" t="s">
        <v>852</v>
      </c>
      <c r="D34" s="1" t="s">
        <v>853</v>
      </c>
      <c r="E34" s="1" t="s">
        <v>854</v>
      </c>
      <c r="F34" s="1" t="s">
        <v>232</v>
      </c>
      <c r="G34" s="1" t="s">
        <v>124</v>
      </c>
      <c r="H34" s="1">
        <v>3425</v>
      </c>
      <c r="I34" s="1">
        <v>2706</v>
      </c>
    </row>
    <row r="35" spans="1:9" x14ac:dyDescent="0.25">
      <c r="A35" s="1" t="s">
        <v>855</v>
      </c>
      <c r="B35" s="57">
        <v>43134</v>
      </c>
      <c r="C35" s="1" t="s">
        <v>856</v>
      </c>
      <c r="D35" s="1" t="s">
        <v>853</v>
      </c>
      <c r="E35" s="1" t="s">
        <v>857</v>
      </c>
      <c r="F35" s="1" t="s">
        <v>858</v>
      </c>
      <c r="G35" s="1" t="s">
        <v>124</v>
      </c>
      <c r="H35" s="1">
        <v>2865</v>
      </c>
      <c r="I35" s="1">
        <v>2091</v>
      </c>
    </row>
    <row r="36" spans="1:9" x14ac:dyDescent="0.25">
      <c r="A36" s="1" t="s">
        <v>859</v>
      </c>
      <c r="B36" s="57">
        <v>43135</v>
      </c>
      <c r="C36" s="1" t="s">
        <v>860</v>
      </c>
      <c r="D36" s="1" t="s">
        <v>853</v>
      </c>
      <c r="E36" s="1" t="s">
        <v>857</v>
      </c>
      <c r="F36" s="1" t="s">
        <v>858</v>
      </c>
      <c r="G36" s="1" t="s">
        <v>124</v>
      </c>
      <c r="H36" s="1">
        <v>2393</v>
      </c>
      <c r="I36" s="1">
        <v>1723</v>
      </c>
    </row>
    <row r="37" spans="1:9" x14ac:dyDescent="0.25">
      <c r="A37" s="1" t="s">
        <v>861</v>
      </c>
      <c r="B37" s="57">
        <v>43136</v>
      </c>
      <c r="C37" s="1" t="s">
        <v>862</v>
      </c>
      <c r="D37" s="1" t="s">
        <v>863</v>
      </c>
      <c r="E37" s="1" t="s">
        <v>864</v>
      </c>
      <c r="F37" s="1" t="s">
        <v>865</v>
      </c>
      <c r="G37" s="1" t="s">
        <v>819</v>
      </c>
      <c r="H37" s="1">
        <v>3149</v>
      </c>
      <c r="I37" s="1">
        <v>2299</v>
      </c>
    </row>
    <row r="38" spans="1:9" x14ac:dyDescent="0.25">
      <c r="A38" s="1" t="s">
        <v>866</v>
      </c>
      <c r="B38" s="57">
        <v>43137</v>
      </c>
      <c r="C38" s="1" t="s">
        <v>867</v>
      </c>
      <c r="D38" s="1" t="s">
        <v>826</v>
      </c>
      <c r="E38" s="1" t="s">
        <v>868</v>
      </c>
      <c r="F38" s="1" t="s">
        <v>869</v>
      </c>
      <c r="G38" s="1" t="s">
        <v>819</v>
      </c>
      <c r="H38" s="1">
        <v>3277</v>
      </c>
      <c r="I38" s="1">
        <v>2130</v>
      </c>
    </row>
    <row r="39" spans="1:9" x14ac:dyDescent="0.25">
      <c r="A39" s="1" t="s">
        <v>870</v>
      </c>
      <c r="B39" s="57">
        <v>43138</v>
      </c>
      <c r="C39" s="1" t="s">
        <v>871</v>
      </c>
      <c r="D39" s="1" t="s">
        <v>872</v>
      </c>
      <c r="E39" s="1" t="s">
        <v>873</v>
      </c>
      <c r="F39" s="1" t="s">
        <v>874</v>
      </c>
      <c r="G39" s="1" t="s">
        <v>819</v>
      </c>
      <c r="H39" s="1">
        <v>2713</v>
      </c>
      <c r="I39" s="1">
        <v>1682</v>
      </c>
    </row>
    <row r="40" spans="1:9" x14ac:dyDescent="0.25">
      <c r="A40" s="1" t="s">
        <v>875</v>
      </c>
      <c r="B40" s="57">
        <v>43139</v>
      </c>
      <c r="C40" s="1" t="s">
        <v>876</v>
      </c>
      <c r="D40" s="1" t="s">
        <v>872</v>
      </c>
      <c r="E40" s="1" t="s">
        <v>873</v>
      </c>
      <c r="F40" s="1" t="s">
        <v>874</v>
      </c>
      <c r="G40" s="1" t="s">
        <v>819</v>
      </c>
      <c r="H40" s="1">
        <v>3381</v>
      </c>
      <c r="I40" s="1">
        <v>2231</v>
      </c>
    </row>
    <row r="41" spans="1:9" x14ac:dyDescent="0.25">
      <c r="A41" s="1" t="s">
        <v>877</v>
      </c>
      <c r="B41" s="57">
        <v>43140</v>
      </c>
      <c r="C41" s="1" t="s">
        <v>878</v>
      </c>
      <c r="D41" s="1" t="s">
        <v>853</v>
      </c>
      <c r="E41" s="1" t="s">
        <v>854</v>
      </c>
      <c r="F41" s="1" t="s">
        <v>224</v>
      </c>
      <c r="G41" s="1" t="s">
        <v>124</v>
      </c>
      <c r="H41" s="1">
        <v>2545</v>
      </c>
      <c r="I41" s="1">
        <v>2011</v>
      </c>
    </row>
    <row r="42" spans="1:9" x14ac:dyDescent="0.25">
      <c r="A42" s="1" t="s">
        <v>879</v>
      </c>
      <c r="B42" s="57">
        <v>43141</v>
      </c>
      <c r="C42" s="1" t="s">
        <v>880</v>
      </c>
      <c r="D42" s="1" t="s">
        <v>853</v>
      </c>
      <c r="E42" s="1" t="s">
        <v>854</v>
      </c>
      <c r="F42" s="1" t="s">
        <v>224</v>
      </c>
      <c r="G42" s="1" t="s">
        <v>124</v>
      </c>
      <c r="H42" s="1">
        <v>4473</v>
      </c>
      <c r="I42" s="1">
        <v>2729</v>
      </c>
    </row>
    <row r="43" spans="1:9" x14ac:dyDescent="0.25">
      <c r="A43" s="1" t="s">
        <v>881</v>
      </c>
      <c r="B43" s="57">
        <v>43142</v>
      </c>
      <c r="C43" s="1" t="s">
        <v>882</v>
      </c>
      <c r="D43" s="1" t="s">
        <v>853</v>
      </c>
      <c r="E43" s="1" t="s">
        <v>854</v>
      </c>
      <c r="F43" s="1" t="s">
        <v>224</v>
      </c>
      <c r="G43" s="1" t="s">
        <v>124</v>
      </c>
      <c r="H43" s="1">
        <v>3332</v>
      </c>
      <c r="I43" s="1">
        <v>2132</v>
      </c>
    </row>
    <row r="44" spans="1:9" x14ac:dyDescent="0.25">
      <c r="A44" s="1" t="s">
        <v>815</v>
      </c>
      <c r="B44" s="57">
        <v>43143</v>
      </c>
      <c r="C44" s="1" t="s">
        <v>816</v>
      </c>
      <c r="D44" s="1" t="s">
        <v>817</v>
      </c>
      <c r="E44" s="1" t="s">
        <v>818</v>
      </c>
      <c r="F44" s="1" t="s">
        <v>818</v>
      </c>
      <c r="G44" s="1" t="s">
        <v>819</v>
      </c>
      <c r="H44" s="1">
        <v>2283</v>
      </c>
      <c r="I44" s="1">
        <v>1438</v>
      </c>
    </row>
    <row r="45" spans="1:9" x14ac:dyDescent="0.25">
      <c r="A45" s="1" t="s">
        <v>820</v>
      </c>
      <c r="B45" s="57">
        <v>43144</v>
      </c>
      <c r="C45" s="1" t="s">
        <v>821</v>
      </c>
      <c r="D45" s="1" t="s">
        <v>817</v>
      </c>
      <c r="E45" s="1" t="s">
        <v>818</v>
      </c>
      <c r="F45" s="1" t="s">
        <v>818</v>
      </c>
      <c r="G45" s="1" t="s">
        <v>819</v>
      </c>
      <c r="H45" s="1">
        <v>2696</v>
      </c>
      <c r="I45" s="1">
        <v>1833</v>
      </c>
    </row>
    <row r="46" spans="1:9" x14ac:dyDescent="0.25">
      <c r="A46" s="1" t="s">
        <v>822</v>
      </c>
      <c r="B46" s="57">
        <v>43145</v>
      </c>
      <c r="C46" s="1" t="s">
        <v>823</v>
      </c>
      <c r="D46" s="1" t="s">
        <v>817</v>
      </c>
      <c r="E46" s="1" t="s">
        <v>818</v>
      </c>
      <c r="F46" s="1" t="s">
        <v>818</v>
      </c>
      <c r="G46" s="1" t="s">
        <v>819</v>
      </c>
      <c r="H46" s="1">
        <v>4061</v>
      </c>
      <c r="I46" s="1">
        <v>3127</v>
      </c>
    </row>
    <row r="47" spans="1:9" x14ac:dyDescent="0.25">
      <c r="A47" s="1" t="s">
        <v>824</v>
      </c>
      <c r="B47" s="57">
        <v>43146</v>
      </c>
      <c r="C47" s="1" t="s">
        <v>825</v>
      </c>
      <c r="D47" s="1" t="s">
        <v>826</v>
      </c>
      <c r="E47" s="1" t="s">
        <v>827</v>
      </c>
      <c r="F47" s="1" t="s">
        <v>828</v>
      </c>
      <c r="G47" s="1" t="s">
        <v>819</v>
      </c>
      <c r="H47" s="1">
        <v>2382</v>
      </c>
      <c r="I47" s="1">
        <v>1548</v>
      </c>
    </row>
    <row r="48" spans="1:9" x14ac:dyDescent="0.25">
      <c r="A48" s="1" t="s">
        <v>829</v>
      </c>
      <c r="B48" s="57">
        <v>43147</v>
      </c>
      <c r="C48" s="1" t="s">
        <v>830</v>
      </c>
      <c r="D48" s="1" t="s">
        <v>826</v>
      </c>
      <c r="E48" s="1" t="s">
        <v>827</v>
      </c>
      <c r="F48" s="1" t="s">
        <v>828</v>
      </c>
      <c r="G48" s="1" t="s">
        <v>819</v>
      </c>
      <c r="H48" s="1">
        <v>4336</v>
      </c>
      <c r="I48" s="1">
        <v>2602</v>
      </c>
    </row>
    <row r="49" spans="1:9" x14ac:dyDescent="0.25">
      <c r="A49" s="1" t="s">
        <v>831</v>
      </c>
      <c r="B49" s="57">
        <v>43148</v>
      </c>
      <c r="C49" s="1" t="s">
        <v>832</v>
      </c>
      <c r="D49" s="1" t="s">
        <v>826</v>
      </c>
      <c r="E49" s="1" t="s">
        <v>827</v>
      </c>
      <c r="F49" s="1" t="s">
        <v>828</v>
      </c>
      <c r="G49" s="1" t="s">
        <v>819</v>
      </c>
      <c r="H49" s="1">
        <v>2602</v>
      </c>
      <c r="I49" s="1">
        <v>2004</v>
      </c>
    </row>
    <row r="50" spans="1:9" x14ac:dyDescent="0.25">
      <c r="A50" s="1" t="s">
        <v>833</v>
      </c>
      <c r="B50" s="57">
        <v>43149</v>
      </c>
      <c r="C50" s="1" t="s">
        <v>834</v>
      </c>
      <c r="D50" s="1" t="s">
        <v>826</v>
      </c>
      <c r="E50" s="1" t="s">
        <v>827</v>
      </c>
      <c r="F50" s="1" t="s">
        <v>828</v>
      </c>
      <c r="G50" s="1" t="s">
        <v>819</v>
      </c>
      <c r="H50" s="1">
        <v>3094</v>
      </c>
      <c r="I50" s="1">
        <v>2073</v>
      </c>
    </row>
    <row r="51" spans="1:9" x14ac:dyDescent="0.25">
      <c r="A51" s="1" t="s">
        <v>835</v>
      </c>
      <c r="B51" s="57">
        <v>43150</v>
      </c>
      <c r="C51" s="1" t="s">
        <v>836</v>
      </c>
      <c r="D51" s="1" t="s">
        <v>826</v>
      </c>
      <c r="E51" s="1" t="s">
        <v>827</v>
      </c>
      <c r="F51" s="1" t="s">
        <v>828</v>
      </c>
      <c r="G51" s="1" t="s">
        <v>819</v>
      </c>
      <c r="H51" s="1">
        <v>3510</v>
      </c>
      <c r="I51" s="1">
        <v>2141</v>
      </c>
    </row>
    <row r="52" spans="1:9" x14ac:dyDescent="0.25">
      <c r="A52" s="1" t="s">
        <v>837</v>
      </c>
      <c r="B52" s="57">
        <v>43151</v>
      </c>
      <c r="C52" s="1" t="s">
        <v>838</v>
      </c>
      <c r="D52" s="1" t="s">
        <v>839</v>
      </c>
      <c r="E52" s="1" t="s">
        <v>840</v>
      </c>
      <c r="F52" s="1" t="s">
        <v>841</v>
      </c>
      <c r="G52" s="1" t="s">
        <v>85</v>
      </c>
      <c r="H52" s="1">
        <v>2134</v>
      </c>
      <c r="I52" s="1">
        <v>1536</v>
      </c>
    </row>
    <row r="53" spans="1:9" x14ac:dyDescent="0.25">
      <c r="A53" s="1" t="s">
        <v>842</v>
      </c>
      <c r="B53" s="57">
        <v>43152</v>
      </c>
      <c r="C53" s="1" t="s">
        <v>843</v>
      </c>
      <c r="D53" s="1" t="s">
        <v>844</v>
      </c>
      <c r="E53" s="1" t="s">
        <v>845</v>
      </c>
      <c r="F53" s="1" t="s">
        <v>846</v>
      </c>
      <c r="G53" s="1" t="s">
        <v>124</v>
      </c>
      <c r="H53" s="1">
        <v>2661</v>
      </c>
      <c r="I53" s="1">
        <v>2022</v>
      </c>
    </row>
    <row r="54" spans="1:9" x14ac:dyDescent="0.25">
      <c r="A54" s="1" t="s">
        <v>847</v>
      </c>
      <c r="B54" s="57">
        <v>43153</v>
      </c>
      <c r="C54" s="1" t="s">
        <v>848</v>
      </c>
      <c r="D54" s="1" t="s">
        <v>839</v>
      </c>
      <c r="E54" s="1" t="s">
        <v>849</v>
      </c>
      <c r="F54" s="1" t="s">
        <v>850</v>
      </c>
      <c r="G54" s="1" t="s">
        <v>85</v>
      </c>
      <c r="H54" s="1">
        <v>2901</v>
      </c>
      <c r="I54" s="1">
        <v>1741</v>
      </c>
    </row>
    <row r="55" spans="1:9" x14ac:dyDescent="0.25">
      <c r="A55" s="1" t="s">
        <v>851</v>
      </c>
      <c r="B55" s="57">
        <v>43154</v>
      </c>
      <c r="C55" s="1" t="s">
        <v>852</v>
      </c>
      <c r="D55" s="1" t="s">
        <v>853</v>
      </c>
      <c r="E55" s="1" t="s">
        <v>854</v>
      </c>
      <c r="F55" s="1" t="s">
        <v>232</v>
      </c>
      <c r="G55" s="1" t="s">
        <v>124</v>
      </c>
      <c r="H55" s="1">
        <v>3784</v>
      </c>
      <c r="I55" s="1">
        <v>2384</v>
      </c>
    </row>
    <row r="56" spans="1:9" x14ac:dyDescent="0.25">
      <c r="A56" s="1" t="s">
        <v>855</v>
      </c>
      <c r="B56" s="57">
        <v>43155</v>
      </c>
      <c r="C56" s="1" t="s">
        <v>856</v>
      </c>
      <c r="D56" s="1" t="s">
        <v>853</v>
      </c>
      <c r="E56" s="1" t="s">
        <v>857</v>
      </c>
      <c r="F56" s="1" t="s">
        <v>858</v>
      </c>
      <c r="G56" s="1" t="s">
        <v>124</v>
      </c>
      <c r="H56" s="1">
        <v>3135</v>
      </c>
      <c r="I56" s="1">
        <v>2445</v>
      </c>
    </row>
    <row r="57" spans="1:9" x14ac:dyDescent="0.25">
      <c r="A57" s="1" t="s">
        <v>859</v>
      </c>
      <c r="B57" s="57">
        <v>43156</v>
      </c>
      <c r="C57" s="1" t="s">
        <v>860</v>
      </c>
      <c r="D57" s="1" t="s">
        <v>853</v>
      </c>
      <c r="E57" s="1" t="s">
        <v>857</v>
      </c>
      <c r="F57" s="1" t="s">
        <v>858</v>
      </c>
      <c r="G57" s="1" t="s">
        <v>124</v>
      </c>
      <c r="H57" s="1">
        <v>2802</v>
      </c>
      <c r="I57" s="1">
        <v>1877</v>
      </c>
    </row>
    <row r="58" spans="1:9" x14ac:dyDescent="0.25">
      <c r="A58" s="1" t="s">
        <v>861</v>
      </c>
      <c r="B58" s="57">
        <v>43157</v>
      </c>
      <c r="C58" s="1" t="s">
        <v>862</v>
      </c>
      <c r="D58" s="1" t="s">
        <v>863</v>
      </c>
      <c r="E58" s="1" t="s">
        <v>864</v>
      </c>
      <c r="F58" s="1" t="s">
        <v>865</v>
      </c>
      <c r="G58" s="1" t="s">
        <v>819</v>
      </c>
      <c r="H58" s="1">
        <v>3486</v>
      </c>
      <c r="I58" s="1">
        <v>2789</v>
      </c>
    </row>
    <row r="59" spans="1:9" x14ac:dyDescent="0.25">
      <c r="A59" s="1" t="s">
        <v>866</v>
      </c>
      <c r="B59" s="57">
        <v>43158</v>
      </c>
      <c r="C59" s="1" t="s">
        <v>867</v>
      </c>
      <c r="D59" s="1" t="s">
        <v>826</v>
      </c>
      <c r="E59" s="1" t="s">
        <v>868</v>
      </c>
      <c r="F59" s="1" t="s">
        <v>869</v>
      </c>
      <c r="G59" s="1" t="s">
        <v>819</v>
      </c>
      <c r="H59" s="1">
        <v>3422</v>
      </c>
      <c r="I59" s="1">
        <v>2122</v>
      </c>
    </row>
    <row r="60" spans="1:9" x14ac:dyDescent="0.25">
      <c r="A60" s="1" t="s">
        <v>870</v>
      </c>
      <c r="B60" s="57">
        <v>43159</v>
      </c>
      <c r="C60" s="1" t="s">
        <v>871</v>
      </c>
      <c r="D60" s="1" t="s">
        <v>872</v>
      </c>
      <c r="E60" s="1" t="s">
        <v>873</v>
      </c>
      <c r="F60" s="1" t="s">
        <v>874</v>
      </c>
      <c r="G60" s="1" t="s">
        <v>819</v>
      </c>
      <c r="H60" s="1">
        <v>2842</v>
      </c>
      <c r="I60" s="1">
        <v>2188</v>
      </c>
    </row>
    <row r="61" spans="1:9" x14ac:dyDescent="0.25">
      <c r="A61" s="1" t="s">
        <v>875</v>
      </c>
      <c r="B61" s="57">
        <v>43160</v>
      </c>
      <c r="C61" s="1" t="s">
        <v>876</v>
      </c>
      <c r="D61" s="1" t="s">
        <v>872</v>
      </c>
      <c r="E61" s="1" t="s">
        <v>873</v>
      </c>
      <c r="F61" s="1" t="s">
        <v>874</v>
      </c>
      <c r="G61" s="1" t="s">
        <v>819</v>
      </c>
      <c r="H61" s="1">
        <v>3846</v>
      </c>
      <c r="I61" s="1">
        <v>2500</v>
      </c>
    </row>
    <row r="62" spans="1:9" x14ac:dyDescent="0.25">
      <c r="A62" s="1" t="s">
        <v>877</v>
      </c>
      <c r="B62" s="57">
        <v>43161</v>
      </c>
      <c r="C62" s="1" t="s">
        <v>878</v>
      </c>
      <c r="D62" s="1" t="s">
        <v>853</v>
      </c>
      <c r="E62" s="1" t="s">
        <v>854</v>
      </c>
      <c r="F62" s="1" t="s">
        <v>224</v>
      </c>
      <c r="G62" s="1" t="s">
        <v>124</v>
      </c>
      <c r="H62" s="1">
        <v>3131</v>
      </c>
      <c r="I62" s="1">
        <v>2380</v>
      </c>
    </row>
    <row r="63" spans="1:9" x14ac:dyDescent="0.25">
      <c r="A63" s="1" t="s">
        <v>879</v>
      </c>
      <c r="B63" s="57">
        <v>43162</v>
      </c>
      <c r="C63" s="1" t="s">
        <v>880</v>
      </c>
      <c r="D63" s="1" t="s">
        <v>853</v>
      </c>
      <c r="E63" s="1" t="s">
        <v>854</v>
      </c>
      <c r="F63" s="1" t="s">
        <v>224</v>
      </c>
      <c r="G63" s="1" t="s">
        <v>124</v>
      </c>
      <c r="H63" s="1">
        <v>3825</v>
      </c>
      <c r="I63" s="1">
        <v>2333</v>
      </c>
    </row>
    <row r="64" spans="1:9" x14ac:dyDescent="0.25">
      <c r="A64" s="1" t="s">
        <v>881</v>
      </c>
      <c r="B64" s="57">
        <v>43163</v>
      </c>
      <c r="C64" s="1" t="s">
        <v>882</v>
      </c>
      <c r="D64" s="1" t="s">
        <v>853</v>
      </c>
      <c r="E64" s="1" t="s">
        <v>854</v>
      </c>
      <c r="F64" s="1" t="s">
        <v>224</v>
      </c>
      <c r="G64" s="1" t="s">
        <v>124</v>
      </c>
      <c r="H64" s="1">
        <v>4362</v>
      </c>
      <c r="I64" s="1">
        <v>3446</v>
      </c>
    </row>
    <row r="65" spans="1:9" x14ac:dyDescent="0.25">
      <c r="A65" s="1" t="s">
        <v>883</v>
      </c>
      <c r="B65" s="57">
        <v>43164</v>
      </c>
      <c r="C65" s="1" t="s">
        <v>816</v>
      </c>
      <c r="D65" s="1" t="s">
        <v>817</v>
      </c>
      <c r="E65" s="1" t="s">
        <v>818</v>
      </c>
      <c r="F65" s="1" t="s">
        <v>818</v>
      </c>
      <c r="G65" s="1" t="s">
        <v>819</v>
      </c>
      <c r="H65" s="1">
        <v>2934</v>
      </c>
      <c r="I65" s="1">
        <v>1819</v>
      </c>
    </row>
    <row r="66" spans="1:9" x14ac:dyDescent="0.25">
      <c r="A66" s="1" t="s">
        <v>884</v>
      </c>
      <c r="B66" s="57">
        <v>43165</v>
      </c>
      <c r="C66" s="1" t="s">
        <v>821</v>
      </c>
      <c r="D66" s="1" t="s">
        <v>817</v>
      </c>
      <c r="E66" s="1" t="s">
        <v>818</v>
      </c>
      <c r="F66" s="1" t="s">
        <v>818</v>
      </c>
      <c r="G66" s="1" t="s">
        <v>819</v>
      </c>
      <c r="H66" s="1">
        <v>4354</v>
      </c>
      <c r="I66" s="1">
        <v>2787</v>
      </c>
    </row>
    <row r="67" spans="1:9" x14ac:dyDescent="0.25">
      <c r="A67" s="1" t="s">
        <v>885</v>
      </c>
      <c r="B67" s="57">
        <v>43166</v>
      </c>
      <c r="C67" s="1" t="s">
        <v>823</v>
      </c>
      <c r="D67" s="1" t="s">
        <v>817</v>
      </c>
      <c r="E67" s="1" t="s">
        <v>818</v>
      </c>
      <c r="F67" s="1" t="s">
        <v>818</v>
      </c>
      <c r="G67" s="1" t="s">
        <v>819</v>
      </c>
      <c r="H67" s="1">
        <v>2102</v>
      </c>
      <c r="I67" s="1">
        <v>1534</v>
      </c>
    </row>
    <row r="68" spans="1:9" x14ac:dyDescent="0.25">
      <c r="A68" s="1" t="s">
        <v>886</v>
      </c>
      <c r="B68" s="57">
        <v>43167</v>
      </c>
      <c r="C68" s="1" t="s">
        <v>825</v>
      </c>
      <c r="D68" s="1" t="s">
        <v>826</v>
      </c>
      <c r="E68" s="1" t="s">
        <v>827</v>
      </c>
      <c r="F68" s="1" t="s">
        <v>828</v>
      </c>
      <c r="G68" s="1" t="s">
        <v>819</v>
      </c>
      <c r="H68" s="1">
        <v>3261</v>
      </c>
      <c r="I68" s="1">
        <v>2446</v>
      </c>
    </row>
    <row r="69" spans="1:9" x14ac:dyDescent="0.25">
      <c r="A69" s="1" t="s">
        <v>887</v>
      </c>
      <c r="B69" s="57">
        <v>43168</v>
      </c>
      <c r="C69" s="1" t="s">
        <v>830</v>
      </c>
      <c r="D69" s="1" t="s">
        <v>826</v>
      </c>
      <c r="E69" s="1" t="s">
        <v>827</v>
      </c>
      <c r="F69" s="1" t="s">
        <v>828</v>
      </c>
      <c r="G69" s="1" t="s">
        <v>819</v>
      </c>
      <c r="H69" s="1">
        <v>2577</v>
      </c>
      <c r="I69" s="1">
        <v>1907</v>
      </c>
    </row>
    <row r="70" spans="1:9" x14ac:dyDescent="0.25">
      <c r="A70" s="1" t="s">
        <v>888</v>
      </c>
      <c r="B70" s="57">
        <v>43169</v>
      </c>
      <c r="C70" s="1" t="s">
        <v>832</v>
      </c>
      <c r="D70" s="1" t="s">
        <v>826</v>
      </c>
      <c r="E70" s="1" t="s">
        <v>827</v>
      </c>
      <c r="F70" s="1" t="s">
        <v>828</v>
      </c>
      <c r="G70" s="1" t="s">
        <v>819</v>
      </c>
      <c r="H70" s="1">
        <v>3131</v>
      </c>
      <c r="I70" s="1">
        <v>1973</v>
      </c>
    </row>
    <row r="71" spans="1:9" x14ac:dyDescent="0.25">
      <c r="A71" s="1" t="s">
        <v>889</v>
      </c>
      <c r="B71" s="57">
        <v>43170</v>
      </c>
      <c r="C71" s="1" t="s">
        <v>834</v>
      </c>
      <c r="D71" s="1" t="s">
        <v>826</v>
      </c>
      <c r="E71" s="1" t="s">
        <v>827</v>
      </c>
      <c r="F71" s="1" t="s">
        <v>828</v>
      </c>
      <c r="G71" s="1" t="s">
        <v>819</v>
      </c>
      <c r="H71" s="1">
        <v>2683</v>
      </c>
      <c r="I71" s="1">
        <v>1798</v>
      </c>
    </row>
    <row r="72" spans="1:9" x14ac:dyDescent="0.25">
      <c r="A72" s="1" t="s">
        <v>890</v>
      </c>
      <c r="B72" s="57">
        <v>43171</v>
      </c>
      <c r="C72" s="1" t="s">
        <v>836</v>
      </c>
      <c r="D72" s="1" t="s">
        <v>826</v>
      </c>
      <c r="E72" s="1" t="s">
        <v>827</v>
      </c>
      <c r="F72" s="1" t="s">
        <v>828</v>
      </c>
      <c r="G72" s="1" t="s">
        <v>819</v>
      </c>
      <c r="H72" s="1">
        <v>2613</v>
      </c>
      <c r="I72" s="1">
        <v>1751</v>
      </c>
    </row>
    <row r="73" spans="1:9" x14ac:dyDescent="0.25">
      <c r="A73" s="1" t="s">
        <v>891</v>
      </c>
      <c r="B73" s="57">
        <v>43172</v>
      </c>
      <c r="C73" s="1" t="s">
        <v>838</v>
      </c>
      <c r="D73" s="1" t="s">
        <v>839</v>
      </c>
      <c r="E73" s="1" t="s">
        <v>840</v>
      </c>
      <c r="F73" s="1" t="s">
        <v>841</v>
      </c>
      <c r="G73" s="1" t="s">
        <v>85</v>
      </c>
      <c r="H73" s="1">
        <v>4076</v>
      </c>
      <c r="I73" s="1">
        <v>2609</v>
      </c>
    </row>
    <row r="74" spans="1:9" x14ac:dyDescent="0.25">
      <c r="A74" s="1" t="s">
        <v>892</v>
      </c>
      <c r="B74" s="57">
        <v>43173</v>
      </c>
      <c r="C74" s="1" t="s">
        <v>843</v>
      </c>
      <c r="D74" s="1" t="s">
        <v>844</v>
      </c>
      <c r="E74" s="1" t="s">
        <v>845</v>
      </c>
      <c r="F74" s="1" t="s">
        <v>846</v>
      </c>
      <c r="G74" s="1" t="s">
        <v>124</v>
      </c>
      <c r="H74" s="1">
        <v>4400</v>
      </c>
      <c r="I74" s="1">
        <v>3432</v>
      </c>
    </row>
    <row r="75" spans="1:9" x14ac:dyDescent="0.25">
      <c r="A75" s="1" t="s">
        <v>893</v>
      </c>
      <c r="B75" s="57">
        <v>43174</v>
      </c>
      <c r="C75" s="1" t="s">
        <v>848</v>
      </c>
      <c r="D75" s="1" t="s">
        <v>839</v>
      </c>
      <c r="E75" s="1" t="s">
        <v>849</v>
      </c>
      <c r="F75" s="1" t="s">
        <v>850</v>
      </c>
      <c r="G75" s="1" t="s">
        <v>85</v>
      </c>
      <c r="H75" s="1">
        <v>2466</v>
      </c>
      <c r="I75" s="1">
        <v>1603</v>
      </c>
    </row>
    <row r="76" spans="1:9" x14ac:dyDescent="0.25">
      <c r="A76" s="1" t="s">
        <v>894</v>
      </c>
      <c r="B76" s="57">
        <v>43175</v>
      </c>
      <c r="C76" s="1" t="s">
        <v>852</v>
      </c>
      <c r="D76" s="1" t="s">
        <v>853</v>
      </c>
      <c r="E76" s="1" t="s">
        <v>854</v>
      </c>
      <c r="F76" s="1" t="s">
        <v>232</v>
      </c>
      <c r="G76" s="1" t="s">
        <v>124</v>
      </c>
      <c r="H76" s="1">
        <v>2137</v>
      </c>
      <c r="I76" s="1">
        <v>1325</v>
      </c>
    </row>
    <row r="77" spans="1:9" x14ac:dyDescent="0.25">
      <c r="A77" s="1" t="s">
        <v>895</v>
      </c>
      <c r="B77" s="57">
        <v>43176</v>
      </c>
      <c r="C77" s="1" t="s">
        <v>856</v>
      </c>
      <c r="D77" s="1" t="s">
        <v>853</v>
      </c>
      <c r="E77" s="1" t="s">
        <v>857</v>
      </c>
      <c r="F77" s="1" t="s">
        <v>858</v>
      </c>
      <c r="G77" s="1" t="s">
        <v>124</v>
      </c>
      <c r="H77" s="1">
        <v>4216</v>
      </c>
      <c r="I77" s="1">
        <v>3162</v>
      </c>
    </row>
    <row r="78" spans="1:9" x14ac:dyDescent="0.25">
      <c r="A78" s="1" t="s">
        <v>896</v>
      </c>
      <c r="B78" s="57">
        <v>43177</v>
      </c>
      <c r="C78" s="1" t="s">
        <v>860</v>
      </c>
      <c r="D78" s="1" t="s">
        <v>853</v>
      </c>
      <c r="E78" s="1" t="s">
        <v>857</v>
      </c>
      <c r="F78" s="1" t="s">
        <v>858</v>
      </c>
      <c r="G78" s="1" t="s">
        <v>124</v>
      </c>
      <c r="H78" s="1">
        <v>3165</v>
      </c>
      <c r="I78" s="1">
        <v>2310</v>
      </c>
    </row>
    <row r="79" spans="1:9" x14ac:dyDescent="0.25">
      <c r="A79" s="1" t="s">
        <v>897</v>
      </c>
      <c r="B79" s="57">
        <v>43178</v>
      </c>
      <c r="C79" s="1" t="s">
        <v>862</v>
      </c>
      <c r="D79" s="1" t="s">
        <v>863</v>
      </c>
      <c r="E79" s="1" t="s">
        <v>864</v>
      </c>
      <c r="F79" s="1" t="s">
        <v>865</v>
      </c>
      <c r="G79" s="1" t="s">
        <v>819</v>
      </c>
      <c r="H79" s="1">
        <v>3263</v>
      </c>
      <c r="I79" s="1">
        <v>2545</v>
      </c>
    </row>
    <row r="80" spans="1:9" x14ac:dyDescent="0.25">
      <c r="A80" s="1" t="s">
        <v>898</v>
      </c>
      <c r="B80" s="57">
        <v>43179</v>
      </c>
      <c r="C80" s="1" t="s">
        <v>867</v>
      </c>
      <c r="D80" s="1" t="s">
        <v>826</v>
      </c>
      <c r="E80" s="1" t="s">
        <v>868</v>
      </c>
      <c r="F80" s="1" t="s">
        <v>869</v>
      </c>
      <c r="G80" s="1" t="s">
        <v>819</v>
      </c>
      <c r="H80" s="1">
        <v>2946</v>
      </c>
      <c r="I80" s="1">
        <v>2210</v>
      </c>
    </row>
    <row r="81" spans="1:9" x14ac:dyDescent="0.25">
      <c r="A81" s="1" t="s">
        <v>899</v>
      </c>
      <c r="B81" s="57">
        <v>43180</v>
      </c>
      <c r="C81" s="1" t="s">
        <v>871</v>
      </c>
      <c r="D81" s="1" t="s">
        <v>872</v>
      </c>
      <c r="E81" s="1" t="s">
        <v>873</v>
      </c>
      <c r="F81" s="1" t="s">
        <v>874</v>
      </c>
      <c r="G81" s="1" t="s">
        <v>819</v>
      </c>
      <c r="H81" s="1">
        <v>2989</v>
      </c>
      <c r="I81" s="1">
        <v>2212</v>
      </c>
    </row>
    <row r="82" spans="1:9" x14ac:dyDescent="0.25">
      <c r="A82" s="1" t="s">
        <v>900</v>
      </c>
      <c r="B82" s="57">
        <v>43181</v>
      </c>
      <c r="C82" s="1" t="s">
        <v>876</v>
      </c>
      <c r="D82" s="1" t="s">
        <v>872</v>
      </c>
      <c r="E82" s="1" t="s">
        <v>873</v>
      </c>
      <c r="F82" s="1" t="s">
        <v>874</v>
      </c>
      <c r="G82" s="1" t="s">
        <v>819</v>
      </c>
      <c r="H82" s="1">
        <v>3463</v>
      </c>
      <c r="I82" s="1">
        <v>2770</v>
      </c>
    </row>
    <row r="83" spans="1:9" x14ac:dyDescent="0.25">
      <c r="A83" s="1" t="s">
        <v>901</v>
      </c>
      <c r="B83" s="57">
        <v>43182</v>
      </c>
      <c r="C83" s="1" t="s">
        <v>878</v>
      </c>
      <c r="D83" s="1" t="s">
        <v>853</v>
      </c>
      <c r="E83" s="1" t="s">
        <v>854</v>
      </c>
      <c r="F83" s="1" t="s">
        <v>224</v>
      </c>
      <c r="G83" s="1" t="s">
        <v>124</v>
      </c>
      <c r="H83" s="1">
        <v>2677</v>
      </c>
      <c r="I83" s="1">
        <v>2088</v>
      </c>
    </row>
    <row r="84" spans="1:9" x14ac:dyDescent="0.25">
      <c r="A84" s="1" t="s">
        <v>902</v>
      </c>
      <c r="B84" s="57">
        <v>43183</v>
      </c>
      <c r="C84" s="1" t="s">
        <v>880</v>
      </c>
      <c r="D84" s="1" t="s">
        <v>853</v>
      </c>
      <c r="E84" s="1" t="s">
        <v>854</v>
      </c>
      <c r="F84" s="1" t="s">
        <v>224</v>
      </c>
      <c r="G84" s="1" t="s">
        <v>124</v>
      </c>
      <c r="H84" s="1">
        <v>2966</v>
      </c>
      <c r="I84" s="1">
        <v>1928</v>
      </c>
    </row>
    <row r="85" spans="1:9" x14ac:dyDescent="0.25">
      <c r="A85" s="1" t="s">
        <v>903</v>
      </c>
      <c r="B85" s="57">
        <v>43184</v>
      </c>
      <c r="C85" s="1" t="s">
        <v>882</v>
      </c>
      <c r="D85" s="1" t="s">
        <v>853</v>
      </c>
      <c r="E85" s="1" t="s">
        <v>854</v>
      </c>
      <c r="F85" s="1" t="s">
        <v>224</v>
      </c>
      <c r="G85" s="1" t="s">
        <v>124</v>
      </c>
      <c r="H85" s="1">
        <v>2106</v>
      </c>
      <c r="I85" s="1">
        <v>1516</v>
      </c>
    </row>
    <row r="86" spans="1:9" x14ac:dyDescent="0.25">
      <c r="A86" s="1" t="s">
        <v>904</v>
      </c>
      <c r="B86" s="57">
        <v>43185</v>
      </c>
      <c r="C86" s="1" t="s">
        <v>816</v>
      </c>
      <c r="D86" s="1" t="s">
        <v>817</v>
      </c>
      <c r="E86" s="1" t="s">
        <v>818</v>
      </c>
      <c r="F86" s="1" t="s">
        <v>818</v>
      </c>
      <c r="G86" s="1" t="s">
        <v>819</v>
      </c>
      <c r="H86" s="1">
        <v>3664</v>
      </c>
      <c r="I86" s="1">
        <v>2272</v>
      </c>
    </row>
    <row r="87" spans="1:9" x14ac:dyDescent="0.25">
      <c r="A87" s="1" t="s">
        <v>905</v>
      </c>
      <c r="B87" s="57">
        <v>43186</v>
      </c>
      <c r="C87" s="1" t="s">
        <v>821</v>
      </c>
      <c r="D87" s="1" t="s">
        <v>817</v>
      </c>
      <c r="E87" s="1" t="s">
        <v>818</v>
      </c>
      <c r="F87" s="1" t="s">
        <v>818</v>
      </c>
      <c r="G87" s="1" t="s">
        <v>819</v>
      </c>
      <c r="H87" s="1">
        <v>3069</v>
      </c>
      <c r="I87" s="1">
        <v>2240</v>
      </c>
    </row>
    <row r="88" spans="1:9" x14ac:dyDescent="0.25">
      <c r="A88" s="1" t="s">
        <v>906</v>
      </c>
      <c r="B88" s="57">
        <v>43187</v>
      </c>
      <c r="C88" s="1" t="s">
        <v>823</v>
      </c>
      <c r="D88" s="1" t="s">
        <v>817</v>
      </c>
      <c r="E88" s="1" t="s">
        <v>818</v>
      </c>
      <c r="F88" s="1" t="s">
        <v>818</v>
      </c>
      <c r="G88" s="1" t="s">
        <v>819</v>
      </c>
      <c r="H88" s="1">
        <v>3755</v>
      </c>
      <c r="I88" s="1">
        <v>2516</v>
      </c>
    </row>
    <row r="89" spans="1:9" x14ac:dyDescent="0.25">
      <c r="A89" s="1" t="s">
        <v>907</v>
      </c>
      <c r="B89" s="57">
        <v>43188</v>
      </c>
      <c r="C89" s="1" t="s">
        <v>825</v>
      </c>
      <c r="D89" s="1" t="s">
        <v>826</v>
      </c>
      <c r="E89" s="1" t="s">
        <v>827</v>
      </c>
      <c r="F89" s="1" t="s">
        <v>828</v>
      </c>
      <c r="G89" s="1" t="s">
        <v>819</v>
      </c>
      <c r="H89" s="1">
        <v>3215</v>
      </c>
      <c r="I89" s="1">
        <v>2058</v>
      </c>
    </row>
    <row r="90" spans="1:9" x14ac:dyDescent="0.25">
      <c r="A90" s="1" t="s">
        <v>908</v>
      </c>
      <c r="B90" s="57">
        <v>43189</v>
      </c>
      <c r="C90" s="1" t="s">
        <v>830</v>
      </c>
      <c r="D90" s="1" t="s">
        <v>826</v>
      </c>
      <c r="E90" s="1" t="s">
        <v>827</v>
      </c>
      <c r="F90" s="1" t="s">
        <v>828</v>
      </c>
      <c r="G90" s="1" t="s">
        <v>819</v>
      </c>
      <c r="H90" s="1">
        <v>3685</v>
      </c>
      <c r="I90" s="1">
        <v>2543</v>
      </c>
    </row>
    <row r="91" spans="1:9" x14ac:dyDescent="0.25">
      <c r="A91" s="1" t="s">
        <v>909</v>
      </c>
      <c r="B91" s="57">
        <v>43190</v>
      </c>
      <c r="C91" s="1" t="s">
        <v>832</v>
      </c>
      <c r="D91" s="1" t="s">
        <v>826</v>
      </c>
      <c r="E91" s="1" t="s">
        <v>827</v>
      </c>
      <c r="F91" s="1" t="s">
        <v>828</v>
      </c>
      <c r="G91" s="1" t="s">
        <v>819</v>
      </c>
      <c r="H91" s="1">
        <v>4015</v>
      </c>
      <c r="I91" s="1">
        <v>2730</v>
      </c>
    </row>
    <row r="92" spans="1:9" x14ac:dyDescent="0.25">
      <c r="A92" s="1" t="s">
        <v>910</v>
      </c>
      <c r="B92" s="57">
        <v>43191</v>
      </c>
      <c r="C92" s="1" t="s">
        <v>834</v>
      </c>
      <c r="D92" s="1" t="s">
        <v>826</v>
      </c>
      <c r="E92" s="1" t="s">
        <v>827</v>
      </c>
      <c r="F92" s="1" t="s">
        <v>828</v>
      </c>
      <c r="G92" s="1" t="s">
        <v>819</v>
      </c>
      <c r="H92" s="1">
        <v>2517</v>
      </c>
      <c r="I92" s="1">
        <v>1661</v>
      </c>
    </row>
    <row r="93" spans="1:9" x14ac:dyDescent="0.25">
      <c r="A93" s="1" t="s">
        <v>911</v>
      </c>
      <c r="B93" s="57">
        <v>43192</v>
      </c>
      <c r="C93" s="1" t="s">
        <v>836</v>
      </c>
      <c r="D93" s="1" t="s">
        <v>826</v>
      </c>
      <c r="E93" s="1" t="s">
        <v>827</v>
      </c>
      <c r="F93" s="1" t="s">
        <v>828</v>
      </c>
      <c r="G93" s="1" t="s">
        <v>819</v>
      </c>
      <c r="H93" s="1">
        <v>2598</v>
      </c>
      <c r="I93" s="1">
        <v>1793</v>
      </c>
    </row>
    <row r="94" spans="1:9" x14ac:dyDescent="0.25">
      <c r="A94" s="1" t="s">
        <v>912</v>
      </c>
      <c r="B94" s="57">
        <v>43193</v>
      </c>
      <c r="C94" s="1" t="s">
        <v>838</v>
      </c>
      <c r="D94" s="1" t="s">
        <v>839</v>
      </c>
      <c r="E94" s="1" t="s">
        <v>840</v>
      </c>
      <c r="F94" s="1" t="s">
        <v>841</v>
      </c>
      <c r="G94" s="1" t="s">
        <v>85</v>
      </c>
      <c r="H94" s="1">
        <v>3513</v>
      </c>
      <c r="I94" s="1">
        <v>2740</v>
      </c>
    </row>
    <row r="95" spans="1:9" x14ac:dyDescent="0.25">
      <c r="A95" s="1" t="s">
        <v>913</v>
      </c>
      <c r="B95" s="57">
        <v>43194</v>
      </c>
      <c r="C95" s="1" t="s">
        <v>843</v>
      </c>
      <c r="D95" s="1" t="s">
        <v>844</v>
      </c>
      <c r="E95" s="1" t="s">
        <v>845</v>
      </c>
      <c r="F95" s="1" t="s">
        <v>846</v>
      </c>
      <c r="G95" s="1" t="s">
        <v>124</v>
      </c>
      <c r="H95" s="1">
        <v>2247</v>
      </c>
      <c r="I95" s="1">
        <v>1775</v>
      </c>
    </row>
    <row r="96" spans="1:9" x14ac:dyDescent="0.25">
      <c r="A96" s="1" t="s">
        <v>914</v>
      </c>
      <c r="B96" s="57">
        <v>43195</v>
      </c>
      <c r="C96" s="1" t="s">
        <v>848</v>
      </c>
      <c r="D96" s="1" t="s">
        <v>839</v>
      </c>
      <c r="E96" s="1" t="s">
        <v>849</v>
      </c>
      <c r="F96" s="1" t="s">
        <v>850</v>
      </c>
      <c r="G96" s="1" t="s">
        <v>85</v>
      </c>
      <c r="H96" s="1">
        <v>2878</v>
      </c>
      <c r="I96" s="1">
        <v>1784</v>
      </c>
    </row>
    <row r="97" spans="1:9" x14ac:dyDescent="0.25">
      <c r="A97" s="1" t="s">
        <v>915</v>
      </c>
      <c r="B97" s="57">
        <v>43196</v>
      </c>
      <c r="C97" s="1" t="s">
        <v>852</v>
      </c>
      <c r="D97" s="1" t="s">
        <v>853</v>
      </c>
      <c r="E97" s="1" t="s">
        <v>854</v>
      </c>
      <c r="F97" s="1" t="s">
        <v>232</v>
      </c>
      <c r="G97" s="1" t="s">
        <v>124</v>
      </c>
      <c r="H97" s="1">
        <v>3425</v>
      </c>
      <c r="I97" s="1">
        <v>2706</v>
      </c>
    </row>
    <row r="98" spans="1:9" x14ac:dyDescent="0.25">
      <c r="A98" s="1" t="s">
        <v>916</v>
      </c>
      <c r="B98" s="57">
        <v>43197</v>
      </c>
      <c r="C98" s="1" t="s">
        <v>856</v>
      </c>
      <c r="D98" s="1" t="s">
        <v>853</v>
      </c>
      <c r="E98" s="1" t="s">
        <v>857</v>
      </c>
      <c r="F98" s="1" t="s">
        <v>858</v>
      </c>
      <c r="G98" s="1" t="s">
        <v>124</v>
      </c>
      <c r="H98" s="1">
        <v>2865</v>
      </c>
      <c r="I98" s="1">
        <v>2091</v>
      </c>
    </row>
    <row r="99" spans="1:9" x14ac:dyDescent="0.25">
      <c r="A99" s="1" t="s">
        <v>917</v>
      </c>
      <c r="B99" s="57">
        <v>43198</v>
      </c>
      <c r="C99" s="1" t="s">
        <v>860</v>
      </c>
      <c r="D99" s="1" t="s">
        <v>853</v>
      </c>
      <c r="E99" s="1" t="s">
        <v>857</v>
      </c>
      <c r="F99" s="1" t="s">
        <v>858</v>
      </c>
      <c r="G99" s="1" t="s">
        <v>124</v>
      </c>
      <c r="H99" s="1">
        <v>2393</v>
      </c>
      <c r="I99" s="1">
        <v>1723</v>
      </c>
    </row>
    <row r="100" spans="1:9" x14ac:dyDescent="0.25">
      <c r="A100" s="1" t="s">
        <v>918</v>
      </c>
      <c r="B100" s="57">
        <v>43199</v>
      </c>
      <c r="C100" s="1" t="s">
        <v>862</v>
      </c>
      <c r="D100" s="1" t="s">
        <v>863</v>
      </c>
      <c r="E100" s="1" t="s">
        <v>864</v>
      </c>
      <c r="F100" s="1" t="s">
        <v>865</v>
      </c>
      <c r="G100" s="1" t="s">
        <v>819</v>
      </c>
      <c r="H100" s="1">
        <v>3149</v>
      </c>
      <c r="I100" s="1">
        <v>2299</v>
      </c>
    </row>
    <row r="101" spans="1:9" x14ac:dyDescent="0.25">
      <c r="A101" s="1" t="s">
        <v>919</v>
      </c>
      <c r="B101" s="57">
        <v>43200</v>
      </c>
      <c r="C101" s="1" t="s">
        <v>867</v>
      </c>
      <c r="D101" s="1" t="s">
        <v>826</v>
      </c>
      <c r="E101" s="1" t="s">
        <v>868</v>
      </c>
      <c r="F101" s="1" t="s">
        <v>869</v>
      </c>
      <c r="G101" s="1" t="s">
        <v>819</v>
      </c>
      <c r="H101" s="1">
        <v>3277</v>
      </c>
      <c r="I101" s="1">
        <v>2130</v>
      </c>
    </row>
    <row r="102" spans="1:9" x14ac:dyDescent="0.25">
      <c r="A102" s="1" t="s">
        <v>920</v>
      </c>
      <c r="B102" s="57">
        <v>43201</v>
      </c>
      <c r="C102" s="1" t="s">
        <v>871</v>
      </c>
      <c r="D102" s="1" t="s">
        <v>872</v>
      </c>
      <c r="E102" s="1" t="s">
        <v>873</v>
      </c>
      <c r="F102" s="1" t="s">
        <v>874</v>
      </c>
      <c r="G102" s="1" t="s">
        <v>819</v>
      </c>
      <c r="H102" s="1">
        <v>2713</v>
      </c>
      <c r="I102" s="1">
        <v>1682</v>
      </c>
    </row>
    <row r="103" spans="1:9" x14ac:dyDescent="0.25">
      <c r="A103" s="1" t="s">
        <v>921</v>
      </c>
      <c r="B103" s="57">
        <v>43202</v>
      </c>
      <c r="C103" s="1" t="s">
        <v>876</v>
      </c>
      <c r="D103" s="1" t="s">
        <v>872</v>
      </c>
      <c r="E103" s="1" t="s">
        <v>873</v>
      </c>
      <c r="F103" s="1" t="s">
        <v>874</v>
      </c>
      <c r="G103" s="1" t="s">
        <v>819</v>
      </c>
      <c r="H103" s="1">
        <v>3381</v>
      </c>
      <c r="I103" s="1">
        <v>2231</v>
      </c>
    </row>
    <row r="104" spans="1:9" x14ac:dyDescent="0.25">
      <c r="A104" s="1" t="s">
        <v>922</v>
      </c>
      <c r="B104" s="57">
        <v>43203</v>
      </c>
      <c r="C104" s="1" t="s">
        <v>878</v>
      </c>
      <c r="D104" s="1" t="s">
        <v>853</v>
      </c>
      <c r="E104" s="1" t="s">
        <v>854</v>
      </c>
      <c r="F104" s="1" t="s">
        <v>224</v>
      </c>
      <c r="G104" s="1" t="s">
        <v>124</v>
      </c>
      <c r="H104" s="1">
        <v>2545</v>
      </c>
      <c r="I104" s="1">
        <v>2011</v>
      </c>
    </row>
    <row r="105" spans="1:9" x14ac:dyDescent="0.25">
      <c r="A105" s="1" t="s">
        <v>923</v>
      </c>
      <c r="B105" s="57">
        <v>43204</v>
      </c>
      <c r="C105" s="1" t="s">
        <v>880</v>
      </c>
      <c r="D105" s="1" t="s">
        <v>853</v>
      </c>
      <c r="E105" s="1" t="s">
        <v>854</v>
      </c>
      <c r="F105" s="1" t="s">
        <v>224</v>
      </c>
      <c r="G105" s="1" t="s">
        <v>124</v>
      </c>
      <c r="H105" s="1">
        <v>4473</v>
      </c>
      <c r="I105" s="1">
        <v>2729</v>
      </c>
    </row>
    <row r="106" spans="1:9" x14ac:dyDescent="0.25">
      <c r="A106" s="1" t="s">
        <v>924</v>
      </c>
      <c r="B106" s="57">
        <v>43205</v>
      </c>
      <c r="C106" s="1" t="s">
        <v>882</v>
      </c>
      <c r="D106" s="1" t="s">
        <v>853</v>
      </c>
      <c r="E106" s="1" t="s">
        <v>854</v>
      </c>
      <c r="F106" s="1" t="s">
        <v>224</v>
      </c>
      <c r="G106" s="1" t="s">
        <v>124</v>
      </c>
      <c r="H106" s="1">
        <v>3332</v>
      </c>
      <c r="I106" s="1">
        <v>2132</v>
      </c>
    </row>
    <row r="107" spans="1:9" x14ac:dyDescent="0.25">
      <c r="A107" s="1" t="s">
        <v>925</v>
      </c>
      <c r="B107" s="57">
        <v>43206</v>
      </c>
      <c r="C107" s="1" t="s">
        <v>816</v>
      </c>
      <c r="D107" s="1" t="s">
        <v>817</v>
      </c>
      <c r="E107" s="1" t="s">
        <v>818</v>
      </c>
      <c r="F107" s="1" t="s">
        <v>818</v>
      </c>
      <c r="G107" s="1" t="s">
        <v>819</v>
      </c>
      <c r="H107" s="1">
        <v>2283</v>
      </c>
      <c r="I107" s="1">
        <v>1438</v>
      </c>
    </row>
    <row r="108" spans="1:9" x14ac:dyDescent="0.25">
      <c r="A108" s="1" t="s">
        <v>926</v>
      </c>
      <c r="B108" s="57">
        <v>43207</v>
      </c>
      <c r="C108" s="1" t="s">
        <v>821</v>
      </c>
      <c r="D108" s="1" t="s">
        <v>817</v>
      </c>
      <c r="E108" s="1" t="s">
        <v>818</v>
      </c>
      <c r="F108" s="1" t="s">
        <v>818</v>
      </c>
      <c r="G108" s="1" t="s">
        <v>819</v>
      </c>
      <c r="H108" s="1">
        <v>2696</v>
      </c>
      <c r="I108" s="1">
        <v>1833</v>
      </c>
    </row>
    <row r="109" spans="1:9" x14ac:dyDescent="0.25">
      <c r="A109" s="1" t="s">
        <v>927</v>
      </c>
      <c r="B109" s="57">
        <v>43208</v>
      </c>
      <c r="C109" s="1" t="s">
        <v>823</v>
      </c>
      <c r="D109" s="1" t="s">
        <v>817</v>
      </c>
      <c r="E109" s="1" t="s">
        <v>818</v>
      </c>
      <c r="F109" s="1" t="s">
        <v>818</v>
      </c>
      <c r="G109" s="1" t="s">
        <v>819</v>
      </c>
      <c r="H109" s="1">
        <v>4061</v>
      </c>
      <c r="I109" s="1">
        <v>3127</v>
      </c>
    </row>
    <row r="110" spans="1:9" x14ac:dyDescent="0.25">
      <c r="A110" s="1" t="s">
        <v>928</v>
      </c>
      <c r="B110" s="57">
        <v>43209</v>
      </c>
      <c r="C110" s="1" t="s">
        <v>825</v>
      </c>
      <c r="D110" s="1" t="s">
        <v>826</v>
      </c>
      <c r="E110" s="1" t="s">
        <v>827</v>
      </c>
      <c r="F110" s="1" t="s">
        <v>828</v>
      </c>
      <c r="G110" s="1" t="s">
        <v>819</v>
      </c>
      <c r="H110" s="1">
        <v>2382</v>
      </c>
      <c r="I110" s="1">
        <v>1548</v>
      </c>
    </row>
    <row r="111" spans="1:9" x14ac:dyDescent="0.25">
      <c r="A111" s="1" t="s">
        <v>929</v>
      </c>
      <c r="B111" s="57">
        <v>43210</v>
      </c>
      <c r="C111" s="1" t="s">
        <v>830</v>
      </c>
      <c r="D111" s="1" t="s">
        <v>826</v>
      </c>
      <c r="E111" s="1" t="s">
        <v>827</v>
      </c>
      <c r="F111" s="1" t="s">
        <v>828</v>
      </c>
      <c r="G111" s="1" t="s">
        <v>819</v>
      </c>
      <c r="H111" s="1">
        <v>4336</v>
      </c>
      <c r="I111" s="1">
        <v>2602</v>
      </c>
    </row>
    <row r="112" spans="1:9" x14ac:dyDescent="0.25">
      <c r="A112" s="1" t="s">
        <v>930</v>
      </c>
      <c r="B112" s="57">
        <v>43211</v>
      </c>
      <c r="C112" s="1" t="s">
        <v>832</v>
      </c>
      <c r="D112" s="1" t="s">
        <v>826</v>
      </c>
      <c r="E112" s="1" t="s">
        <v>827</v>
      </c>
      <c r="F112" s="1" t="s">
        <v>828</v>
      </c>
      <c r="G112" s="1" t="s">
        <v>819</v>
      </c>
      <c r="H112" s="1">
        <v>2602</v>
      </c>
      <c r="I112" s="1">
        <v>2004</v>
      </c>
    </row>
    <row r="113" spans="1:9" x14ac:dyDescent="0.25">
      <c r="A113" s="1" t="s">
        <v>931</v>
      </c>
      <c r="B113" s="57">
        <v>43212</v>
      </c>
      <c r="C113" s="1" t="s">
        <v>834</v>
      </c>
      <c r="D113" s="1" t="s">
        <v>826</v>
      </c>
      <c r="E113" s="1" t="s">
        <v>827</v>
      </c>
      <c r="F113" s="1" t="s">
        <v>828</v>
      </c>
      <c r="G113" s="1" t="s">
        <v>819</v>
      </c>
      <c r="H113" s="1">
        <v>3094</v>
      </c>
      <c r="I113" s="1">
        <v>2073</v>
      </c>
    </row>
    <row r="114" spans="1:9" x14ac:dyDescent="0.25">
      <c r="A114" s="1" t="s">
        <v>932</v>
      </c>
      <c r="B114" s="57">
        <v>43213</v>
      </c>
      <c r="C114" s="1" t="s">
        <v>836</v>
      </c>
      <c r="D114" s="1" t="s">
        <v>826</v>
      </c>
      <c r="E114" s="1" t="s">
        <v>827</v>
      </c>
      <c r="F114" s="1" t="s">
        <v>828</v>
      </c>
      <c r="G114" s="1" t="s">
        <v>819</v>
      </c>
      <c r="H114" s="1">
        <v>3510</v>
      </c>
      <c r="I114" s="1">
        <v>2141</v>
      </c>
    </row>
    <row r="115" spans="1:9" x14ac:dyDescent="0.25">
      <c r="A115" s="1" t="s">
        <v>933</v>
      </c>
      <c r="B115" s="57">
        <v>43214</v>
      </c>
      <c r="C115" s="1" t="s">
        <v>838</v>
      </c>
      <c r="D115" s="1" t="s">
        <v>839</v>
      </c>
      <c r="E115" s="1" t="s">
        <v>840</v>
      </c>
      <c r="F115" s="1" t="s">
        <v>841</v>
      </c>
      <c r="G115" s="1" t="s">
        <v>85</v>
      </c>
      <c r="H115" s="1">
        <v>2134</v>
      </c>
      <c r="I115" s="1">
        <v>1536</v>
      </c>
    </row>
    <row r="116" spans="1:9" x14ac:dyDescent="0.25">
      <c r="A116" s="1" t="s">
        <v>934</v>
      </c>
      <c r="B116" s="57">
        <v>43215</v>
      </c>
      <c r="C116" s="1" t="s">
        <v>843</v>
      </c>
      <c r="D116" s="1" t="s">
        <v>844</v>
      </c>
      <c r="E116" s="1" t="s">
        <v>845</v>
      </c>
      <c r="F116" s="1" t="s">
        <v>846</v>
      </c>
      <c r="G116" s="1" t="s">
        <v>124</v>
      </c>
      <c r="H116" s="1">
        <v>2661</v>
      </c>
      <c r="I116" s="1">
        <v>2022</v>
      </c>
    </row>
    <row r="117" spans="1:9" x14ac:dyDescent="0.25">
      <c r="A117" s="1" t="s">
        <v>935</v>
      </c>
      <c r="B117" s="57">
        <v>43216</v>
      </c>
      <c r="C117" s="1" t="s">
        <v>848</v>
      </c>
      <c r="D117" s="1" t="s">
        <v>839</v>
      </c>
      <c r="E117" s="1" t="s">
        <v>849</v>
      </c>
      <c r="F117" s="1" t="s">
        <v>850</v>
      </c>
      <c r="G117" s="1" t="s">
        <v>85</v>
      </c>
      <c r="H117" s="1">
        <v>2901</v>
      </c>
      <c r="I117" s="1">
        <v>1741</v>
      </c>
    </row>
    <row r="118" spans="1:9" x14ac:dyDescent="0.25">
      <c r="A118" s="1" t="s">
        <v>936</v>
      </c>
      <c r="B118" s="57">
        <v>43217</v>
      </c>
      <c r="C118" s="1" t="s">
        <v>852</v>
      </c>
      <c r="D118" s="1" t="s">
        <v>853</v>
      </c>
      <c r="E118" s="1" t="s">
        <v>854</v>
      </c>
      <c r="F118" s="1" t="s">
        <v>232</v>
      </c>
      <c r="G118" s="1" t="s">
        <v>124</v>
      </c>
      <c r="H118" s="1">
        <v>3784</v>
      </c>
      <c r="I118" s="1">
        <v>2384</v>
      </c>
    </row>
    <row r="119" spans="1:9" x14ac:dyDescent="0.25">
      <c r="A119" s="1" t="s">
        <v>937</v>
      </c>
      <c r="B119" s="57">
        <v>43218</v>
      </c>
      <c r="C119" s="1" t="s">
        <v>856</v>
      </c>
      <c r="D119" s="1" t="s">
        <v>853</v>
      </c>
      <c r="E119" s="1" t="s">
        <v>857</v>
      </c>
      <c r="F119" s="1" t="s">
        <v>858</v>
      </c>
      <c r="G119" s="1" t="s">
        <v>124</v>
      </c>
      <c r="H119" s="1">
        <v>3135</v>
      </c>
      <c r="I119" s="1">
        <v>2445</v>
      </c>
    </row>
    <row r="120" spans="1:9" x14ac:dyDescent="0.25">
      <c r="A120" s="1" t="s">
        <v>938</v>
      </c>
      <c r="B120" s="57">
        <v>43219</v>
      </c>
      <c r="C120" s="1" t="s">
        <v>860</v>
      </c>
      <c r="D120" s="1" t="s">
        <v>853</v>
      </c>
      <c r="E120" s="1" t="s">
        <v>857</v>
      </c>
      <c r="F120" s="1" t="s">
        <v>858</v>
      </c>
      <c r="G120" s="1" t="s">
        <v>124</v>
      </c>
      <c r="H120" s="1">
        <v>2802</v>
      </c>
      <c r="I120" s="1">
        <v>1877</v>
      </c>
    </row>
    <row r="121" spans="1:9" x14ac:dyDescent="0.25">
      <c r="A121" s="1" t="s">
        <v>939</v>
      </c>
      <c r="B121" s="57">
        <v>43220</v>
      </c>
      <c r="C121" s="1" t="s">
        <v>862</v>
      </c>
      <c r="D121" s="1" t="s">
        <v>863</v>
      </c>
      <c r="E121" s="1" t="s">
        <v>864</v>
      </c>
      <c r="F121" s="1" t="s">
        <v>865</v>
      </c>
      <c r="G121" s="1" t="s">
        <v>819</v>
      </c>
      <c r="H121" s="1">
        <v>3486</v>
      </c>
      <c r="I121" s="1">
        <v>2789</v>
      </c>
    </row>
    <row r="122" spans="1:9" x14ac:dyDescent="0.25">
      <c r="A122" s="1" t="s">
        <v>940</v>
      </c>
      <c r="B122" s="57">
        <v>43221</v>
      </c>
      <c r="C122" s="1" t="s">
        <v>867</v>
      </c>
      <c r="D122" s="1" t="s">
        <v>826</v>
      </c>
      <c r="E122" s="1" t="s">
        <v>868</v>
      </c>
      <c r="F122" s="1" t="s">
        <v>869</v>
      </c>
      <c r="G122" s="1" t="s">
        <v>819</v>
      </c>
      <c r="H122" s="1">
        <v>3422</v>
      </c>
      <c r="I122" s="1">
        <v>2122</v>
      </c>
    </row>
    <row r="123" spans="1:9" x14ac:dyDescent="0.25">
      <c r="A123" s="1" t="s">
        <v>941</v>
      </c>
      <c r="B123" s="57">
        <v>43222</v>
      </c>
      <c r="C123" s="1" t="s">
        <v>871</v>
      </c>
      <c r="D123" s="1" t="s">
        <v>872</v>
      </c>
      <c r="E123" s="1" t="s">
        <v>873</v>
      </c>
      <c r="F123" s="1" t="s">
        <v>874</v>
      </c>
      <c r="G123" s="1" t="s">
        <v>819</v>
      </c>
      <c r="H123" s="1">
        <v>2842</v>
      </c>
      <c r="I123" s="1">
        <v>2188</v>
      </c>
    </row>
    <row r="124" spans="1:9" x14ac:dyDescent="0.25">
      <c r="A124" s="1" t="s">
        <v>942</v>
      </c>
      <c r="B124" s="57">
        <v>43223</v>
      </c>
      <c r="C124" s="1" t="s">
        <v>876</v>
      </c>
      <c r="D124" s="1" t="s">
        <v>872</v>
      </c>
      <c r="E124" s="1" t="s">
        <v>873</v>
      </c>
      <c r="F124" s="1" t="s">
        <v>874</v>
      </c>
      <c r="G124" s="1" t="s">
        <v>819</v>
      </c>
      <c r="H124" s="1">
        <v>3846</v>
      </c>
      <c r="I124" s="1">
        <v>2500</v>
      </c>
    </row>
    <row r="125" spans="1:9" x14ac:dyDescent="0.25">
      <c r="A125" s="1" t="s">
        <v>943</v>
      </c>
      <c r="B125" s="57">
        <v>43224</v>
      </c>
      <c r="C125" s="1" t="s">
        <v>878</v>
      </c>
      <c r="D125" s="1" t="s">
        <v>853</v>
      </c>
      <c r="E125" s="1" t="s">
        <v>854</v>
      </c>
      <c r="F125" s="1" t="s">
        <v>224</v>
      </c>
      <c r="G125" s="1" t="s">
        <v>124</v>
      </c>
      <c r="H125" s="1">
        <v>3131</v>
      </c>
      <c r="I125" s="1">
        <v>2380</v>
      </c>
    </row>
    <row r="126" spans="1:9" x14ac:dyDescent="0.25">
      <c r="A126" s="1" t="s">
        <v>944</v>
      </c>
      <c r="B126" s="57">
        <v>43225</v>
      </c>
      <c r="C126" s="1" t="s">
        <v>880</v>
      </c>
      <c r="D126" s="1" t="s">
        <v>853</v>
      </c>
      <c r="E126" s="1" t="s">
        <v>854</v>
      </c>
      <c r="F126" s="1" t="s">
        <v>224</v>
      </c>
      <c r="G126" s="1" t="s">
        <v>124</v>
      </c>
      <c r="H126" s="1">
        <v>3825</v>
      </c>
      <c r="I126" s="1">
        <v>2333</v>
      </c>
    </row>
    <row r="127" spans="1:9" x14ac:dyDescent="0.25">
      <c r="A127" s="1" t="s">
        <v>945</v>
      </c>
      <c r="B127" s="57">
        <v>43226</v>
      </c>
      <c r="C127" s="1" t="s">
        <v>882</v>
      </c>
      <c r="D127" s="1" t="s">
        <v>853</v>
      </c>
      <c r="E127" s="1" t="s">
        <v>854</v>
      </c>
      <c r="F127" s="1" t="s">
        <v>224</v>
      </c>
      <c r="G127" s="1" t="s">
        <v>124</v>
      </c>
      <c r="H127" s="1">
        <v>4362</v>
      </c>
      <c r="I127" s="1">
        <v>3446</v>
      </c>
    </row>
    <row r="128" spans="1:9" x14ac:dyDescent="0.25">
      <c r="A128" s="1" t="s">
        <v>946</v>
      </c>
      <c r="B128" s="57">
        <v>43227</v>
      </c>
      <c r="C128" s="1" t="s">
        <v>816</v>
      </c>
      <c r="D128" s="1" t="s">
        <v>817</v>
      </c>
      <c r="E128" s="1" t="s">
        <v>818</v>
      </c>
      <c r="F128" s="1" t="s">
        <v>818</v>
      </c>
      <c r="G128" s="1" t="s">
        <v>819</v>
      </c>
      <c r="H128" s="1">
        <v>2934</v>
      </c>
      <c r="I128" s="1">
        <v>1819</v>
      </c>
    </row>
    <row r="129" spans="1:9" x14ac:dyDescent="0.25">
      <c r="A129" s="1" t="s">
        <v>947</v>
      </c>
      <c r="B129" s="57">
        <v>43228</v>
      </c>
      <c r="C129" s="1" t="s">
        <v>821</v>
      </c>
      <c r="D129" s="1" t="s">
        <v>817</v>
      </c>
      <c r="E129" s="1" t="s">
        <v>818</v>
      </c>
      <c r="F129" s="1" t="s">
        <v>818</v>
      </c>
      <c r="G129" s="1" t="s">
        <v>819</v>
      </c>
      <c r="H129" s="1">
        <v>4354</v>
      </c>
      <c r="I129" s="1">
        <v>2787</v>
      </c>
    </row>
    <row r="130" spans="1:9" x14ac:dyDescent="0.25">
      <c r="A130" s="1" t="s">
        <v>948</v>
      </c>
      <c r="B130" s="57">
        <v>43229</v>
      </c>
      <c r="C130" s="1" t="s">
        <v>823</v>
      </c>
      <c r="D130" s="1" t="s">
        <v>817</v>
      </c>
      <c r="E130" s="1" t="s">
        <v>818</v>
      </c>
      <c r="F130" s="1" t="s">
        <v>818</v>
      </c>
      <c r="G130" s="1" t="s">
        <v>819</v>
      </c>
      <c r="H130" s="1">
        <v>2102</v>
      </c>
      <c r="I130" s="1">
        <v>1534</v>
      </c>
    </row>
    <row r="131" spans="1:9" x14ac:dyDescent="0.25">
      <c r="A131" s="1" t="s">
        <v>949</v>
      </c>
      <c r="B131" s="57">
        <v>43230</v>
      </c>
      <c r="C131" s="1" t="s">
        <v>825</v>
      </c>
      <c r="D131" s="1" t="s">
        <v>826</v>
      </c>
      <c r="E131" s="1" t="s">
        <v>827</v>
      </c>
      <c r="F131" s="1" t="s">
        <v>828</v>
      </c>
      <c r="G131" s="1" t="s">
        <v>819</v>
      </c>
      <c r="H131" s="1">
        <v>3261</v>
      </c>
      <c r="I131" s="1">
        <v>2446</v>
      </c>
    </row>
    <row r="132" spans="1:9" x14ac:dyDescent="0.25">
      <c r="A132" s="1" t="s">
        <v>950</v>
      </c>
      <c r="B132" s="57">
        <v>43231</v>
      </c>
      <c r="C132" s="1" t="s">
        <v>830</v>
      </c>
      <c r="D132" s="1" t="s">
        <v>826</v>
      </c>
      <c r="E132" s="1" t="s">
        <v>827</v>
      </c>
      <c r="F132" s="1" t="s">
        <v>828</v>
      </c>
      <c r="G132" s="1" t="s">
        <v>819</v>
      </c>
      <c r="H132" s="1">
        <v>2577</v>
      </c>
      <c r="I132" s="1">
        <v>1907</v>
      </c>
    </row>
    <row r="133" spans="1:9" x14ac:dyDescent="0.25">
      <c r="A133" s="1" t="s">
        <v>951</v>
      </c>
      <c r="B133" s="57">
        <v>43232</v>
      </c>
      <c r="C133" s="1" t="s">
        <v>832</v>
      </c>
      <c r="D133" s="1" t="s">
        <v>826</v>
      </c>
      <c r="E133" s="1" t="s">
        <v>827</v>
      </c>
      <c r="F133" s="1" t="s">
        <v>828</v>
      </c>
      <c r="G133" s="1" t="s">
        <v>819</v>
      </c>
      <c r="H133" s="1">
        <v>3131</v>
      </c>
      <c r="I133" s="1">
        <v>1973</v>
      </c>
    </row>
    <row r="134" spans="1:9" x14ac:dyDescent="0.25">
      <c r="A134" s="1" t="s">
        <v>952</v>
      </c>
      <c r="B134" s="57">
        <v>43233</v>
      </c>
      <c r="C134" s="1" t="s">
        <v>834</v>
      </c>
      <c r="D134" s="1" t="s">
        <v>826</v>
      </c>
      <c r="E134" s="1" t="s">
        <v>827</v>
      </c>
      <c r="F134" s="1" t="s">
        <v>828</v>
      </c>
      <c r="G134" s="1" t="s">
        <v>819</v>
      </c>
      <c r="H134" s="1">
        <v>2683</v>
      </c>
      <c r="I134" s="1">
        <v>1798</v>
      </c>
    </row>
    <row r="135" spans="1:9" x14ac:dyDescent="0.25">
      <c r="A135" s="1" t="s">
        <v>953</v>
      </c>
      <c r="B135" s="57">
        <v>43234</v>
      </c>
      <c r="C135" s="1" t="s">
        <v>836</v>
      </c>
      <c r="D135" s="1" t="s">
        <v>826</v>
      </c>
      <c r="E135" s="1" t="s">
        <v>827</v>
      </c>
      <c r="F135" s="1" t="s">
        <v>828</v>
      </c>
      <c r="G135" s="1" t="s">
        <v>819</v>
      </c>
      <c r="H135" s="1">
        <v>2613</v>
      </c>
      <c r="I135" s="1">
        <v>1751</v>
      </c>
    </row>
    <row r="136" spans="1:9" x14ac:dyDescent="0.25">
      <c r="A136" s="1" t="s">
        <v>954</v>
      </c>
      <c r="B136" s="57">
        <v>43235</v>
      </c>
      <c r="C136" s="1" t="s">
        <v>838</v>
      </c>
      <c r="D136" s="1" t="s">
        <v>839</v>
      </c>
      <c r="E136" s="1" t="s">
        <v>840</v>
      </c>
      <c r="F136" s="1" t="s">
        <v>841</v>
      </c>
      <c r="G136" s="1" t="s">
        <v>85</v>
      </c>
      <c r="H136" s="1">
        <v>4076</v>
      </c>
      <c r="I136" s="1">
        <v>2609</v>
      </c>
    </row>
    <row r="137" spans="1:9" x14ac:dyDescent="0.25">
      <c r="A137" s="1" t="s">
        <v>955</v>
      </c>
      <c r="B137" s="57">
        <v>43236</v>
      </c>
      <c r="C137" s="1" t="s">
        <v>843</v>
      </c>
      <c r="D137" s="1" t="s">
        <v>844</v>
      </c>
      <c r="E137" s="1" t="s">
        <v>845</v>
      </c>
      <c r="F137" s="1" t="s">
        <v>846</v>
      </c>
      <c r="G137" s="1" t="s">
        <v>124</v>
      </c>
      <c r="H137" s="1">
        <v>4400</v>
      </c>
      <c r="I137" s="1">
        <v>3432</v>
      </c>
    </row>
    <row r="138" spans="1:9" x14ac:dyDescent="0.25">
      <c r="A138" s="1" t="s">
        <v>956</v>
      </c>
      <c r="B138" s="57">
        <v>43237</v>
      </c>
      <c r="C138" s="1" t="s">
        <v>848</v>
      </c>
      <c r="D138" s="1" t="s">
        <v>839</v>
      </c>
      <c r="E138" s="1" t="s">
        <v>849</v>
      </c>
      <c r="F138" s="1" t="s">
        <v>850</v>
      </c>
      <c r="G138" s="1" t="s">
        <v>85</v>
      </c>
      <c r="H138" s="1">
        <v>2466</v>
      </c>
      <c r="I138" s="1">
        <v>1603</v>
      </c>
    </row>
    <row r="139" spans="1:9" x14ac:dyDescent="0.25">
      <c r="A139" s="1" t="s">
        <v>957</v>
      </c>
      <c r="B139" s="57">
        <v>43238</v>
      </c>
      <c r="C139" s="1" t="s">
        <v>852</v>
      </c>
      <c r="D139" s="1" t="s">
        <v>853</v>
      </c>
      <c r="E139" s="1" t="s">
        <v>854</v>
      </c>
      <c r="F139" s="1" t="s">
        <v>232</v>
      </c>
      <c r="G139" s="1" t="s">
        <v>124</v>
      </c>
      <c r="H139" s="1">
        <v>2137</v>
      </c>
      <c r="I139" s="1">
        <v>1325</v>
      </c>
    </row>
    <row r="140" spans="1:9" x14ac:dyDescent="0.25">
      <c r="A140" s="1" t="s">
        <v>958</v>
      </c>
      <c r="B140" s="57">
        <v>43239</v>
      </c>
      <c r="C140" s="1" t="s">
        <v>856</v>
      </c>
      <c r="D140" s="1" t="s">
        <v>853</v>
      </c>
      <c r="E140" s="1" t="s">
        <v>857</v>
      </c>
      <c r="F140" s="1" t="s">
        <v>858</v>
      </c>
      <c r="G140" s="1" t="s">
        <v>124</v>
      </c>
      <c r="H140" s="1">
        <v>4216</v>
      </c>
      <c r="I140" s="1">
        <v>3162</v>
      </c>
    </row>
    <row r="141" spans="1:9" x14ac:dyDescent="0.25">
      <c r="A141" s="1" t="s">
        <v>959</v>
      </c>
      <c r="B141" s="57">
        <v>43240</v>
      </c>
      <c r="C141" s="1" t="s">
        <v>860</v>
      </c>
      <c r="D141" s="1" t="s">
        <v>853</v>
      </c>
      <c r="E141" s="1" t="s">
        <v>857</v>
      </c>
      <c r="F141" s="1" t="s">
        <v>858</v>
      </c>
      <c r="G141" s="1" t="s">
        <v>124</v>
      </c>
      <c r="H141" s="1">
        <v>3165</v>
      </c>
      <c r="I141" s="1">
        <v>2310</v>
      </c>
    </row>
    <row r="142" spans="1:9" x14ac:dyDescent="0.25">
      <c r="A142" s="1" t="s">
        <v>960</v>
      </c>
      <c r="B142" s="57">
        <v>43241</v>
      </c>
      <c r="C142" s="1" t="s">
        <v>862</v>
      </c>
      <c r="D142" s="1" t="s">
        <v>863</v>
      </c>
      <c r="E142" s="1" t="s">
        <v>864</v>
      </c>
      <c r="F142" s="1" t="s">
        <v>865</v>
      </c>
      <c r="G142" s="1" t="s">
        <v>819</v>
      </c>
      <c r="H142" s="1">
        <v>3263</v>
      </c>
      <c r="I142" s="1">
        <v>2545</v>
      </c>
    </row>
    <row r="143" spans="1:9" x14ac:dyDescent="0.25">
      <c r="A143" s="1" t="s">
        <v>961</v>
      </c>
      <c r="B143" s="57">
        <v>43242</v>
      </c>
      <c r="C143" s="1" t="s">
        <v>867</v>
      </c>
      <c r="D143" s="1" t="s">
        <v>826</v>
      </c>
      <c r="E143" s="1" t="s">
        <v>868</v>
      </c>
      <c r="F143" s="1" t="s">
        <v>869</v>
      </c>
      <c r="G143" s="1" t="s">
        <v>819</v>
      </c>
      <c r="H143" s="1">
        <v>2946</v>
      </c>
      <c r="I143" s="1">
        <v>2210</v>
      </c>
    </row>
    <row r="144" spans="1:9" x14ac:dyDescent="0.25">
      <c r="A144" s="1" t="s">
        <v>962</v>
      </c>
      <c r="B144" s="57">
        <v>43243</v>
      </c>
      <c r="C144" s="1" t="s">
        <v>871</v>
      </c>
      <c r="D144" s="1" t="s">
        <v>872</v>
      </c>
      <c r="E144" s="1" t="s">
        <v>873</v>
      </c>
      <c r="F144" s="1" t="s">
        <v>874</v>
      </c>
      <c r="G144" s="1" t="s">
        <v>819</v>
      </c>
      <c r="H144" s="1">
        <v>2989</v>
      </c>
      <c r="I144" s="1">
        <v>2212</v>
      </c>
    </row>
    <row r="145" spans="1:9" x14ac:dyDescent="0.25">
      <c r="A145" s="1" t="s">
        <v>963</v>
      </c>
      <c r="B145" s="57">
        <v>43244</v>
      </c>
      <c r="C145" s="1" t="s">
        <v>876</v>
      </c>
      <c r="D145" s="1" t="s">
        <v>872</v>
      </c>
      <c r="E145" s="1" t="s">
        <v>873</v>
      </c>
      <c r="F145" s="1" t="s">
        <v>874</v>
      </c>
      <c r="G145" s="1" t="s">
        <v>819</v>
      </c>
      <c r="H145" s="1">
        <v>3463</v>
      </c>
      <c r="I145" s="1">
        <v>2770</v>
      </c>
    </row>
    <row r="146" spans="1:9" x14ac:dyDescent="0.25">
      <c r="A146" s="1" t="s">
        <v>964</v>
      </c>
      <c r="B146" s="57">
        <v>43245</v>
      </c>
      <c r="C146" s="1" t="s">
        <v>878</v>
      </c>
      <c r="D146" s="1" t="s">
        <v>853</v>
      </c>
      <c r="E146" s="1" t="s">
        <v>854</v>
      </c>
      <c r="F146" s="1" t="s">
        <v>224</v>
      </c>
      <c r="G146" s="1" t="s">
        <v>124</v>
      </c>
      <c r="H146" s="1">
        <v>2677</v>
      </c>
      <c r="I146" s="1">
        <v>2088</v>
      </c>
    </row>
    <row r="147" spans="1:9" x14ac:dyDescent="0.25">
      <c r="A147" s="1" t="s">
        <v>965</v>
      </c>
      <c r="B147" s="57">
        <v>43246</v>
      </c>
      <c r="C147" s="1" t="s">
        <v>880</v>
      </c>
      <c r="D147" s="1" t="s">
        <v>853</v>
      </c>
      <c r="E147" s="1" t="s">
        <v>854</v>
      </c>
      <c r="F147" s="1" t="s">
        <v>224</v>
      </c>
      <c r="G147" s="1" t="s">
        <v>124</v>
      </c>
      <c r="H147" s="1">
        <v>2966</v>
      </c>
      <c r="I147" s="1">
        <v>1928</v>
      </c>
    </row>
    <row r="148" spans="1:9" x14ac:dyDescent="0.25">
      <c r="A148" s="1" t="s">
        <v>966</v>
      </c>
      <c r="B148" s="57">
        <v>43247</v>
      </c>
      <c r="C148" s="1" t="s">
        <v>882</v>
      </c>
      <c r="D148" s="1" t="s">
        <v>853</v>
      </c>
      <c r="E148" s="1" t="s">
        <v>854</v>
      </c>
      <c r="F148" s="1" t="s">
        <v>224</v>
      </c>
      <c r="G148" s="1" t="s">
        <v>124</v>
      </c>
      <c r="H148" s="1">
        <v>2106</v>
      </c>
      <c r="I148" s="1">
        <v>1516</v>
      </c>
    </row>
    <row r="149" spans="1:9" x14ac:dyDescent="0.25">
      <c r="A149" s="1" t="s">
        <v>967</v>
      </c>
      <c r="B149" s="57">
        <v>43248</v>
      </c>
      <c r="C149" s="1" t="s">
        <v>816</v>
      </c>
      <c r="D149" s="1" t="s">
        <v>817</v>
      </c>
      <c r="E149" s="1" t="s">
        <v>818</v>
      </c>
      <c r="F149" s="1" t="s">
        <v>818</v>
      </c>
      <c r="G149" s="1" t="s">
        <v>819</v>
      </c>
      <c r="H149" s="1">
        <v>3664</v>
      </c>
      <c r="I149" s="1">
        <v>2272</v>
      </c>
    </row>
    <row r="150" spans="1:9" x14ac:dyDescent="0.25">
      <c r="A150" s="1" t="s">
        <v>968</v>
      </c>
      <c r="B150" s="57">
        <v>43249</v>
      </c>
      <c r="C150" s="1" t="s">
        <v>821</v>
      </c>
      <c r="D150" s="1" t="s">
        <v>817</v>
      </c>
      <c r="E150" s="1" t="s">
        <v>818</v>
      </c>
      <c r="F150" s="1" t="s">
        <v>818</v>
      </c>
      <c r="G150" s="1" t="s">
        <v>819</v>
      </c>
      <c r="H150" s="1">
        <v>3069</v>
      </c>
      <c r="I150" s="1">
        <v>2240</v>
      </c>
    </row>
    <row r="151" spans="1:9" x14ac:dyDescent="0.25">
      <c r="A151" s="1" t="s">
        <v>969</v>
      </c>
      <c r="B151" s="57">
        <v>43250</v>
      </c>
      <c r="C151" s="1" t="s">
        <v>823</v>
      </c>
      <c r="D151" s="1" t="s">
        <v>817</v>
      </c>
      <c r="E151" s="1" t="s">
        <v>818</v>
      </c>
      <c r="F151" s="1" t="s">
        <v>818</v>
      </c>
      <c r="G151" s="1" t="s">
        <v>819</v>
      </c>
      <c r="H151" s="1">
        <v>3755</v>
      </c>
      <c r="I151" s="1">
        <v>2516</v>
      </c>
    </row>
    <row r="152" spans="1:9" x14ac:dyDescent="0.25">
      <c r="A152" s="1" t="s">
        <v>970</v>
      </c>
      <c r="B152" s="57">
        <v>43251</v>
      </c>
      <c r="C152" s="1" t="s">
        <v>825</v>
      </c>
      <c r="D152" s="1" t="s">
        <v>826</v>
      </c>
      <c r="E152" s="1" t="s">
        <v>827</v>
      </c>
      <c r="F152" s="1" t="s">
        <v>828</v>
      </c>
      <c r="G152" s="1" t="s">
        <v>819</v>
      </c>
      <c r="H152" s="1">
        <v>3215</v>
      </c>
      <c r="I152" s="1">
        <v>2058</v>
      </c>
    </row>
    <row r="153" spans="1:9" x14ac:dyDescent="0.25">
      <c r="A153" s="1" t="s">
        <v>971</v>
      </c>
      <c r="B153" s="57">
        <v>43252</v>
      </c>
      <c r="C153" s="1" t="s">
        <v>830</v>
      </c>
      <c r="D153" s="1" t="s">
        <v>826</v>
      </c>
      <c r="E153" s="1" t="s">
        <v>827</v>
      </c>
      <c r="F153" s="1" t="s">
        <v>828</v>
      </c>
      <c r="G153" s="1" t="s">
        <v>819</v>
      </c>
      <c r="H153" s="1">
        <v>3685</v>
      </c>
      <c r="I153" s="1">
        <v>2543</v>
      </c>
    </row>
    <row r="154" spans="1:9" x14ac:dyDescent="0.25">
      <c r="A154" s="1" t="s">
        <v>972</v>
      </c>
      <c r="B154" s="57">
        <v>43253</v>
      </c>
      <c r="C154" s="1" t="s">
        <v>832</v>
      </c>
      <c r="D154" s="1" t="s">
        <v>826</v>
      </c>
      <c r="E154" s="1" t="s">
        <v>827</v>
      </c>
      <c r="F154" s="1" t="s">
        <v>828</v>
      </c>
      <c r="G154" s="1" t="s">
        <v>819</v>
      </c>
      <c r="H154" s="1">
        <v>4015</v>
      </c>
      <c r="I154" s="1">
        <v>2730</v>
      </c>
    </row>
    <row r="155" spans="1:9" x14ac:dyDescent="0.25">
      <c r="A155" s="1" t="s">
        <v>973</v>
      </c>
      <c r="B155" s="57">
        <v>43254</v>
      </c>
      <c r="C155" s="1" t="s">
        <v>834</v>
      </c>
      <c r="D155" s="1" t="s">
        <v>826</v>
      </c>
      <c r="E155" s="1" t="s">
        <v>827</v>
      </c>
      <c r="F155" s="1" t="s">
        <v>828</v>
      </c>
      <c r="G155" s="1" t="s">
        <v>819</v>
      </c>
      <c r="H155" s="1">
        <v>2517</v>
      </c>
      <c r="I155" s="1">
        <v>1661</v>
      </c>
    </row>
    <row r="156" spans="1:9" x14ac:dyDescent="0.25">
      <c r="A156" s="1" t="s">
        <v>974</v>
      </c>
      <c r="B156" s="57">
        <v>43255</v>
      </c>
      <c r="C156" s="1" t="s">
        <v>836</v>
      </c>
      <c r="D156" s="1" t="s">
        <v>826</v>
      </c>
      <c r="E156" s="1" t="s">
        <v>827</v>
      </c>
      <c r="F156" s="1" t="s">
        <v>828</v>
      </c>
      <c r="G156" s="1" t="s">
        <v>819</v>
      </c>
      <c r="H156" s="1">
        <v>2598</v>
      </c>
      <c r="I156" s="1">
        <v>1793</v>
      </c>
    </row>
    <row r="157" spans="1:9" x14ac:dyDescent="0.25">
      <c r="A157" s="1" t="s">
        <v>975</v>
      </c>
      <c r="B157" s="57">
        <v>43256</v>
      </c>
      <c r="C157" s="1" t="s">
        <v>838</v>
      </c>
      <c r="D157" s="1" t="s">
        <v>839</v>
      </c>
      <c r="E157" s="1" t="s">
        <v>840</v>
      </c>
      <c r="F157" s="1" t="s">
        <v>841</v>
      </c>
      <c r="G157" s="1" t="s">
        <v>85</v>
      </c>
      <c r="H157" s="1">
        <v>3513</v>
      </c>
      <c r="I157" s="1">
        <v>2740</v>
      </c>
    </row>
    <row r="158" spans="1:9" x14ac:dyDescent="0.25">
      <c r="A158" s="1" t="s">
        <v>976</v>
      </c>
      <c r="B158" s="57">
        <v>43257</v>
      </c>
      <c r="C158" s="1" t="s">
        <v>843</v>
      </c>
      <c r="D158" s="1" t="s">
        <v>844</v>
      </c>
      <c r="E158" s="1" t="s">
        <v>845</v>
      </c>
      <c r="F158" s="1" t="s">
        <v>846</v>
      </c>
      <c r="G158" s="1" t="s">
        <v>124</v>
      </c>
      <c r="H158" s="1">
        <v>2247</v>
      </c>
      <c r="I158" s="1">
        <v>1775</v>
      </c>
    </row>
    <row r="159" spans="1:9" x14ac:dyDescent="0.25">
      <c r="A159" s="1" t="s">
        <v>977</v>
      </c>
      <c r="B159" s="57">
        <v>43258</v>
      </c>
      <c r="C159" s="1" t="s">
        <v>848</v>
      </c>
      <c r="D159" s="1" t="s">
        <v>839</v>
      </c>
      <c r="E159" s="1" t="s">
        <v>849</v>
      </c>
      <c r="F159" s="1" t="s">
        <v>850</v>
      </c>
      <c r="G159" s="1" t="s">
        <v>85</v>
      </c>
      <c r="H159" s="1">
        <v>2878</v>
      </c>
      <c r="I159" s="1">
        <v>1784</v>
      </c>
    </row>
    <row r="160" spans="1:9" x14ac:dyDescent="0.25">
      <c r="A160" s="1" t="s">
        <v>978</v>
      </c>
      <c r="B160" s="57">
        <v>43259</v>
      </c>
      <c r="C160" s="1" t="s">
        <v>852</v>
      </c>
      <c r="D160" s="1" t="s">
        <v>853</v>
      </c>
      <c r="E160" s="1" t="s">
        <v>854</v>
      </c>
      <c r="F160" s="1" t="s">
        <v>232</v>
      </c>
      <c r="G160" s="1" t="s">
        <v>124</v>
      </c>
      <c r="H160" s="1">
        <v>3425</v>
      </c>
      <c r="I160" s="1">
        <v>2706</v>
      </c>
    </row>
    <row r="161" spans="1:9" x14ac:dyDescent="0.25">
      <c r="A161" s="1" t="s">
        <v>979</v>
      </c>
      <c r="B161" s="57">
        <v>43260</v>
      </c>
      <c r="C161" s="1" t="s">
        <v>856</v>
      </c>
      <c r="D161" s="1" t="s">
        <v>853</v>
      </c>
      <c r="E161" s="1" t="s">
        <v>857</v>
      </c>
      <c r="F161" s="1" t="s">
        <v>858</v>
      </c>
      <c r="G161" s="1" t="s">
        <v>124</v>
      </c>
      <c r="H161" s="1">
        <v>2865</v>
      </c>
      <c r="I161" s="1">
        <v>2091</v>
      </c>
    </row>
    <row r="162" spans="1:9" x14ac:dyDescent="0.25">
      <c r="A162" s="1" t="s">
        <v>980</v>
      </c>
      <c r="B162" s="57">
        <v>43261</v>
      </c>
      <c r="C162" s="1" t="s">
        <v>860</v>
      </c>
      <c r="D162" s="1" t="s">
        <v>853</v>
      </c>
      <c r="E162" s="1" t="s">
        <v>857</v>
      </c>
      <c r="F162" s="1" t="s">
        <v>858</v>
      </c>
      <c r="G162" s="1" t="s">
        <v>124</v>
      </c>
      <c r="H162" s="1">
        <v>2393</v>
      </c>
      <c r="I162" s="1">
        <v>1723</v>
      </c>
    </row>
    <row r="163" spans="1:9" x14ac:dyDescent="0.25">
      <c r="A163" s="1" t="s">
        <v>981</v>
      </c>
      <c r="B163" s="57">
        <v>43262</v>
      </c>
      <c r="C163" s="1" t="s">
        <v>862</v>
      </c>
      <c r="D163" s="1" t="s">
        <v>863</v>
      </c>
      <c r="E163" s="1" t="s">
        <v>864</v>
      </c>
      <c r="F163" s="1" t="s">
        <v>865</v>
      </c>
      <c r="G163" s="1" t="s">
        <v>819</v>
      </c>
      <c r="H163" s="1">
        <v>3149</v>
      </c>
      <c r="I163" s="1">
        <v>2299</v>
      </c>
    </row>
    <row r="164" spans="1:9" x14ac:dyDescent="0.25">
      <c r="A164" s="1" t="s">
        <v>982</v>
      </c>
      <c r="B164" s="57">
        <v>43263</v>
      </c>
      <c r="C164" s="1" t="s">
        <v>867</v>
      </c>
      <c r="D164" s="1" t="s">
        <v>826</v>
      </c>
      <c r="E164" s="1" t="s">
        <v>868</v>
      </c>
      <c r="F164" s="1" t="s">
        <v>869</v>
      </c>
      <c r="G164" s="1" t="s">
        <v>819</v>
      </c>
      <c r="H164" s="1">
        <v>3277</v>
      </c>
      <c r="I164" s="1">
        <v>2130</v>
      </c>
    </row>
    <row r="165" spans="1:9" x14ac:dyDescent="0.25">
      <c r="A165" s="1" t="s">
        <v>983</v>
      </c>
      <c r="B165" s="57">
        <v>43264</v>
      </c>
      <c r="C165" s="1" t="s">
        <v>871</v>
      </c>
      <c r="D165" s="1" t="s">
        <v>872</v>
      </c>
      <c r="E165" s="1" t="s">
        <v>873</v>
      </c>
      <c r="F165" s="1" t="s">
        <v>874</v>
      </c>
      <c r="G165" s="1" t="s">
        <v>819</v>
      </c>
      <c r="H165" s="1">
        <v>2713</v>
      </c>
      <c r="I165" s="1">
        <v>1682</v>
      </c>
    </row>
    <row r="166" spans="1:9" x14ac:dyDescent="0.25">
      <c r="A166" s="1" t="s">
        <v>984</v>
      </c>
      <c r="B166" s="57">
        <v>43265</v>
      </c>
      <c r="C166" s="1" t="s">
        <v>876</v>
      </c>
      <c r="D166" s="1" t="s">
        <v>872</v>
      </c>
      <c r="E166" s="1" t="s">
        <v>873</v>
      </c>
      <c r="F166" s="1" t="s">
        <v>874</v>
      </c>
      <c r="G166" s="1" t="s">
        <v>819</v>
      </c>
      <c r="H166" s="1">
        <v>3381</v>
      </c>
      <c r="I166" s="1">
        <v>2231</v>
      </c>
    </row>
    <row r="167" spans="1:9" x14ac:dyDescent="0.25">
      <c r="A167" s="1" t="s">
        <v>985</v>
      </c>
      <c r="B167" s="57">
        <v>43266</v>
      </c>
      <c r="C167" s="1" t="s">
        <v>878</v>
      </c>
      <c r="D167" s="1" t="s">
        <v>853</v>
      </c>
      <c r="E167" s="1" t="s">
        <v>854</v>
      </c>
      <c r="F167" s="1" t="s">
        <v>224</v>
      </c>
      <c r="G167" s="1" t="s">
        <v>124</v>
      </c>
      <c r="H167" s="1">
        <v>2545</v>
      </c>
      <c r="I167" s="1">
        <v>2011</v>
      </c>
    </row>
    <row r="168" spans="1:9" x14ac:dyDescent="0.25">
      <c r="A168" s="1" t="s">
        <v>986</v>
      </c>
      <c r="B168" s="57">
        <v>43267</v>
      </c>
      <c r="C168" s="1" t="s">
        <v>880</v>
      </c>
      <c r="D168" s="1" t="s">
        <v>853</v>
      </c>
      <c r="E168" s="1" t="s">
        <v>854</v>
      </c>
      <c r="F168" s="1" t="s">
        <v>224</v>
      </c>
      <c r="G168" s="1" t="s">
        <v>124</v>
      </c>
      <c r="H168" s="1">
        <v>4473</v>
      </c>
      <c r="I168" s="1">
        <v>2729</v>
      </c>
    </row>
    <row r="169" spans="1:9" x14ac:dyDescent="0.25">
      <c r="A169" s="1" t="s">
        <v>987</v>
      </c>
      <c r="B169" s="57">
        <v>43268</v>
      </c>
      <c r="C169" s="1" t="s">
        <v>882</v>
      </c>
      <c r="D169" s="1" t="s">
        <v>853</v>
      </c>
      <c r="E169" s="1" t="s">
        <v>854</v>
      </c>
      <c r="F169" s="1" t="s">
        <v>224</v>
      </c>
      <c r="G169" s="1" t="s">
        <v>124</v>
      </c>
      <c r="H169" s="1">
        <v>3332</v>
      </c>
      <c r="I169" s="1">
        <v>2132</v>
      </c>
    </row>
    <row r="170" spans="1:9" x14ac:dyDescent="0.25">
      <c r="A170" s="1" t="s">
        <v>988</v>
      </c>
      <c r="B170" s="57">
        <v>43269</v>
      </c>
      <c r="C170" s="1" t="s">
        <v>816</v>
      </c>
      <c r="D170" s="1" t="s">
        <v>817</v>
      </c>
      <c r="E170" s="1" t="s">
        <v>818</v>
      </c>
      <c r="F170" s="1" t="s">
        <v>818</v>
      </c>
      <c r="G170" s="1" t="s">
        <v>819</v>
      </c>
      <c r="H170" s="1">
        <v>2283</v>
      </c>
      <c r="I170" s="1">
        <v>1438</v>
      </c>
    </row>
    <row r="171" spans="1:9" x14ac:dyDescent="0.25">
      <c r="A171" s="1" t="s">
        <v>989</v>
      </c>
      <c r="B171" s="57">
        <v>43270</v>
      </c>
      <c r="C171" s="1" t="s">
        <v>821</v>
      </c>
      <c r="D171" s="1" t="s">
        <v>817</v>
      </c>
      <c r="E171" s="1" t="s">
        <v>818</v>
      </c>
      <c r="F171" s="1" t="s">
        <v>818</v>
      </c>
      <c r="G171" s="1" t="s">
        <v>819</v>
      </c>
      <c r="H171" s="1">
        <v>2696</v>
      </c>
      <c r="I171" s="1">
        <v>1833</v>
      </c>
    </row>
    <row r="172" spans="1:9" x14ac:dyDescent="0.25">
      <c r="A172" s="1" t="s">
        <v>990</v>
      </c>
      <c r="B172" s="57">
        <v>43271</v>
      </c>
      <c r="C172" s="1" t="s">
        <v>823</v>
      </c>
      <c r="D172" s="1" t="s">
        <v>817</v>
      </c>
      <c r="E172" s="1" t="s">
        <v>818</v>
      </c>
      <c r="F172" s="1" t="s">
        <v>818</v>
      </c>
      <c r="G172" s="1" t="s">
        <v>819</v>
      </c>
      <c r="H172" s="1">
        <v>4061</v>
      </c>
      <c r="I172" s="1">
        <v>3127</v>
      </c>
    </row>
    <row r="173" spans="1:9" x14ac:dyDescent="0.25">
      <c r="A173" s="1" t="s">
        <v>991</v>
      </c>
      <c r="B173" s="57">
        <v>43272</v>
      </c>
      <c r="C173" s="1" t="s">
        <v>825</v>
      </c>
      <c r="D173" s="1" t="s">
        <v>826</v>
      </c>
      <c r="E173" s="1" t="s">
        <v>827</v>
      </c>
      <c r="F173" s="1" t="s">
        <v>828</v>
      </c>
      <c r="G173" s="1" t="s">
        <v>819</v>
      </c>
      <c r="H173" s="1">
        <v>2382</v>
      </c>
      <c r="I173" s="1">
        <v>1548</v>
      </c>
    </row>
    <row r="174" spans="1:9" x14ac:dyDescent="0.25">
      <c r="A174" s="1" t="s">
        <v>992</v>
      </c>
      <c r="B174" s="57">
        <v>43273</v>
      </c>
      <c r="C174" s="1" t="s">
        <v>830</v>
      </c>
      <c r="D174" s="1" t="s">
        <v>826</v>
      </c>
      <c r="E174" s="1" t="s">
        <v>827</v>
      </c>
      <c r="F174" s="1" t="s">
        <v>828</v>
      </c>
      <c r="G174" s="1" t="s">
        <v>819</v>
      </c>
      <c r="H174" s="1">
        <v>4336</v>
      </c>
      <c r="I174" s="1">
        <v>2602</v>
      </c>
    </row>
    <row r="175" spans="1:9" x14ac:dyDescent="0.25">
      <c r="A175" s="1" t="s">
        <v>993</v>
      </c>
      <c r="B175" s="57">
        <v>43274</v>
      </c>
      <c r="C175" s="1" t="s">
        <v>832</v>
      </c>
      <c r="D175" s="1" t="s">
        <v>826</v>
      </c>
      <c r="E175" s="1" t="s">
        <v>827</v>
      </c>
      <c r="F175" s="1" t="s">
        <v>828</v>
      </c>
      <c r="G175" s="1" t="s">
        <v>819</v>
      </c>
      <c r="H175" s="1">
        <v>2602</v>
      </c>
      <c r="I175" s="1">
        <v>2004</v>
      </c>
    </row>
    <row r="176" spans="1:9" x14ac:dyDescent="0.25">
      <c r="A176" s="1" t="s">
        <v>994</v>
      </c>
      <c r="B176" s="57">
        <v>43275</v>
      </c>
      <c r="C176" s="1" t="s">
        <v>834</v>
      </c>
      <c r="D176" s="1" t="s">
        <v>826</v>
      </c>
      <c r="E176" s="1" t="s">
        <v>827</v>
      </c>
      <c r="F176" s="1" t="s">
        <v>828</v>
      </c>
      <c r="G176" s="1" t="s">
        <v>819</v>
      </c>
      <c r="H176" s="1">
        <v>3094</v>
      </c>
      <c r="I176" s="1">
        <v>2073</v>
      </c>
    </row>
    <row r="177" spans="1:9" x14ac:dyDescent="0.25">
      <c r="A177" s="1" t="s">
        <v>995</v>
      </c>
      <c r="B177" s="57">
        <v>43276</v>
      </c>
      <c r="C177" s="1" t="s">
        <v>836</v>
      </c>
      <c r="D177" s="1" t="s">
        <v>826</v>
      </c>
      <c r="E177" s="1" t="s">
        <v>827</v>
      </c>
      <c r="F177" s="1" t="s">
        <v>828</v>
      </c>
      <c r="G177" s="1" t="s">
        <v>819</v>
      </c>
      <c r="H177" s="1">
        <v>3510</v>
      </c>
      <c r="I177" s="1">
        <v>2141</v>
      </c>
    </row>
    <row r="178" spans="1:9" x14ac:dyDescent="0.25">
      <c r="A178" s="1" t="s">
        <v>996</v>
      </c>
      <c r="B178" s="57">
        <v>43277</v>
      </c>
      <c r="C178" s="1" t="s">
        <v>838</v>
      </c>
      <c r="D178" s="1" t="s">
        <v>839</v>
      </c>
      <c r="E178" s="1" t="s">
        <v>840</v>
      </c>
      <c r="F178" s="1" t="s">
        <v>841</v>
      </c>
      <c r="G178" s="1" t="s">
        <v>85</v>
      </c>
      <c r="H178" s="1">
        <v>2134</v>
      </c>
      <c r="I178" s="1">
        <v>1536</v>
      </c>
    </row>
    <row r="179" spans="1:9" x14ac:dyDescent="0.25">
      <c r="A179" s="1" t="s">
        <v>997</v>
      </c>
      <c r="B179" s="57">
        <v>43278</v>
      </c>
      <c r="C179" s="1" t="s">
        <v>843</v>
      </c>
      <c r="D179" s="1" t="s">
        <v>844</v>
      </c>
      <c r="E179" s="1" t="s">
        <v>845</v>
      </c>
      <c r="F179" s="1" t="s">
        <v>846</v>
      </c>
      <c r="G179" s="1" t="s">
        <v>124</v>
      </c>
      <c r="H179" s="1">
        <v>2661</v>
      </c>
      <c r="I179" s="1">
        <v>2022</v>
      </c>
    </row>
    <row r="180" spans="1:9" x14ac:dyDescent="0.25">
      <c r="A180" s="1" t="s">
        <v>998</v>
      </c>
      <c r="B180" s="57">
        <v>43279</v>
      </c>
      <c r="C180" s="1" t="s">
        <v>848</v>
      </c>
      <c r="D180" s="1" t="s">
        <v>839</v>
      </c>
      <c r="E180" s="1" t="s">
        <v>849</v>
      </c>
      <c r="F180" s="1" t="s">
        <v>850</v>
      </c>
      <c r="G180" s="1" t="s">
        <v>85</v>
      </c>
      <c r="H180" s="1">
        <v>2901</v>
      </c>
      <c r="I180" s="1">
        <v>1741</v>
      </c>
    </row>
    <row r="181" spans="1:9" x14ac:dyDescent="0.25">
      <c r="A181" s="1" t="s">
        <v>999</v>
      </c>
      <c r="B181" s="57">
        <v>43280</v>
      </c>
      <c r="C181" s="1" t="s">
        <v>852</v>
      </c>
      <c r="D181" s="1" t="s">
        <v>853</v>
      </c>
      <c r="E181" s="1" t="s">
        <v>854</v>
      </c>
      <c r="F181" s="1" t="s">
        <v>232</v>
      </c>
      <c r="G181" s="1" t="s">
        <v>124</v>
      </c>
      <c r="H181" s="1">
        <v>3784</v>
      </c>
      <c r="I181" s="1">
        <v>2384</v>
      </c>
    </row>
    <row r="182" spans="1:9" x14ac:dyDescent="0.25">
      <c r="A182" s="1" t="s">
        <v>1000</v>
      </c>
      <c r="B182" s="57">
        <v>43281</v>
      </c>
      <c r="C182" s="1" t="s">
        <v>856</v>
      </c>
      <c r="D182" s="1" t="s">
        <v>853</v>
      </c>
      <c r="E182" s="1" t="s">
        <v>857</v>
      </c>
      <c r="F182" s="1" t="s">
        <v>858</v>
      </c>
      <c r="G182" s="1" t="s">
        <v>124</v>
      </c>
      <c r="H182" s="1">
        <v>3135</v>
      </c>
      <c r="I182" s="1">
        <v>2445</v>
      </c>
    </row>
    <row r="183" spans="1:9" x14ac:dyDescent="0.25">
      <c r="A183" s="1" t="s">
        <v>1001</v>
      </c>
      <c r="B183" s="57">
        <v>43282</v>
      </c>
      <c r="C183" s="1" t="s">
        <v>860</v>
      </c>
      <c r="D183" s="1" t="s">
        <v>853</v>
      </c>
      <c r="E183" s="1" t="s">
        <v>857</v>
      </c>
      <c r="F183" s="1" t="s">
        <v>858</v>
      </c>
      <c r="G183" s="1" t="s">
        <v>124</v>
      </c>
      <c r="H183" s="1">
        <v>2802</v>
      </c>
      <c r="I183" s="1">
        <v>1877</v>
      </c>
    </row>
    <row r="184" spans="1:9" x14ac:dyDescent="0.25">
      <c r="A184" s="1" t="s">
        <v>1002</v>
      </c>
      <c r="B184" s="57">
        <v>43283</v>
      </c>
      <c r="C184" s="1" t="s">
        <v>862</v>
      </c>
      <c r="D184" s="1" t="s">
        <v>863</v>
      </c>
      <c r="E184" s="1" t="s">
        <v>864</v>
      </c>
      <c r="F184" s="1" t="s">
        <v>865</v>
      </c>
      <c r="G184" s="1" t="s">
        <v>819</v>
      </c>
      <c r="H184" s="1">
        <v>3486</v>
      </c>
      <c r="I184" s="1">
        <v>2789</v>
      </c>
    </row>
    <row r="185" spans="1:9" x14ac:dyDescent="0.25">
      <c r="A185" s="1" t="s">
        <v>1003</v>
      </c>
      <c r="B185" s="57">
        <v>43284</v>
      </c>
      <c r="C185" s="1" t="s">
        <v>867</v>
      </c>
      <c r="D185" s="1" t="s">
        <v>826</v>
      </c>
      <c r="E185" s="1" t="s">
        <v>868</v>
      </c>
      <c r="F185" s="1" t="s">
        <v>869</v>
      </c>
      <c r="G185" s="1" t="s">
        <v>819</v>
      </c>
      <c r="H185" s="1">
        <v>3422</v>
      </c>
      <c r="I185" s="1">
        <v>2122</v>
      </c>
    </row>
    <row r="186" spans="1:9" x14ac:dyDescent="0.25">
      <c r="A186" s="1" t="s">
        <v>1004</v>
      </c>
      <c r="B186" s="57">
        <v>43285</v>
      </c>
      <c r="C186" s="1" t="s">
        <v>871</v>
      </c>
      <c r="D186" s="1" t="s">
        <v>872</v>
      </c>
      <c r="E186" s="1" t="s">
        <v>873</v>
      </c>
      <c r="F186" s="1" t="s">
        <v>874</v>
      </c>
      <c r="G186" s="1" t="s">
        <v>819</v>
      </c>
      <c r="H186" s="1">
        <v>2842</v>
      </c>
      <c r="I186" s="1">
        <v>2188</v>
      </c>
    </row>
    <row r="187" spans="1:9" x14ac:dyDescent="0.25">
      <c r="A187" s="1" t="s">
        <v>1005</v>
      </c>
      <c r="B187" s="57">
        <v>43286</v>
      </c>
      <c r="C187" s="1" t="s">
        <v>876</v>
      </c>
      <c r="D187" s="1" t="s">
        <v>872</v>
      </c>
      <c r="E187" s="1" t="s">
        <v>873</v>
      </c>
      <c r="F187" s="1" t="s">
        <v>874</v>
      </c>
      <c r="G187" s="1" t="s">
        <v>819</v>
      </c>
      <c r="H187" s="1">
        <v>3846</v>
      </c>
      <c r="I187" s="1">
        <v>2500</v>
      </c>
    </row>
    <row r="188" spans="1:9" x14ac:dyDescent="0.25">
      <c r="A188" s="1" t="s">
        <v>1006</v>
      </c>
      <c r="B188" s="57">
        <v>43287</v>
      </c>
      <c r="C188" s="1" t="s">
        <v>878</v>
      </c>
      <c r="D188" s="1" t="s">
        <v>853</v>
      </c>
      <c r="E188" s="1" t="s">
        <v>854</v>
      </c>
      <c r="F188" s="1" t="s">
        <v>224</v>
      </c>
      <c r="G188" s="1" t="s">
        <v>124</v>
      </c>
      <c r="H188" s="1">
        <v>3131</v>
      </c>
      <c r="I188" s="1">
        <v>2380</v>
      </c>
    </row>
    <row r="189" spans="1:9" x14ac:dyDescent="0.25">
      <c r="A189" s="1" t="s">
        <v>1007</v>
      </c>
      <c r="B189" s="57">
        <v>43288</v>
      </c>
      <c r="C189" s="1" t="s">
        <v>880</v>
      </c>
      <c r="D189" s="1" t="s">
        <v>853</v>
      </c>
      <c r="E189" s="1" t="s">
        <v>854</v>
      </c>
      <c r="F189" s="1" t="s">
        <v>224</v>
      </c>
      <c r="G189" s="1" t="s">
        <v>124</v>
      </c>
      <c r="H189" s="1">
        <v>3825</v>
      </c>
      <c r="I189" s="1">
        <v>2333</v>
      </c>
    </row>
    <row r="190" spans="1:9" x14ac:dyDescent="0.25">
      <c r="A190" s="1" t="s">
        <v>1008</v>
      </c>
      <c r="B190" s="57">
        <v>43289</v>
      </c>
      <c r="C190" s="1" t="s">
        <v>882</v>
      </c>
      <c r="D190" s="1" t="s">
        <v>853</v>
      </c>
      <c r="E190" s="1" t="s">
        <v>854</v>
      </c>
      <c r="F190" s="1" t="s">
        <v>224</v>
      </c>
      <c r="G190" s="1" t="s">
        <v>124</v>
      </c>
      <c r="H190" s="1">
        <v>4362</v>
      </c>
      <c r="I190" s="1">
        <v>3446</v>
      </c>
    </row>
    <row r="191" spans="1:9" x14ac:dyDescent="0.25">
      <c r="A191" s="1" t="s">
        <v>1009</v>
      </c>
      <c r="B191" s="57">
        <v>43290</v>
      </c>
      <c r="C191" s="1" t="s">
        <v>816</v>
      </c>
      <c r="D191" s="1" t="s">
        <v>817</v>
      </c>
      <c r="E191" s="1" t="s">
        <v>818</v>
      </c>
      <c r="F191" s="1" t="s">
        <v>818</v>
      </c>
      <c r="G191" s="1" t="s">
        <v>819</v>
      </c>
      <c r="H191" s="1">
        <v>2934</v>
      </c>
      <c r="I191" s="1">
        <v>1819</v>
      </c>
    </row>
    <row r="192" spans="1:9" x14ac:dyDescent="0.25">
      <c r="A192" s="1" t="s">
        <v>1010</v>
      </c>
      <c r="B192" s="57">
        <v>43291</v>
      </c>
      <c r="C192" s="1" t="s">
        <v>821</v>
      </c>
      <c r="D192" s="1" t="s">
        <v>817</v>
      </c>
      <c r="E192" s="1" t="s">
        <v>818</v>
      </c>
      <c r="F192" s="1" t="s">
        <v>818</v>
      </c>
      <c r="G192" s="1" t="s">
        <v>819</v>
      </c>
      <c r="H192" s="1">
        <v>4354</v>
      </c>
      <c r="I192" s="1">
        <v>2787</v>
      </c>
    </row>
    <row r="193" spans="1:9" x14ac:dyDescent="0.25">
      <c r="A193" s="1" t="s">
        <v>1011</v>
      </c>
      <c r="B193" s="57">
        <v>43292</v>
      </c>
      <c r="C193" s="1" t="s">
        <v>823</v>
      </c>
      <c r="D193" s="1" t="s">
        <v>817</v>
      </c>
      <c r="E193" s="1" t="s">
        <v>818</v>
      </c>
      <c r="F193" s="1" t="s">
        <v>818</v>
      </c>
      <c r="G193" s="1" t="s">
        <v>819</v>
      </c>
      <c r="H193" s="1">
        <v>2102</v>
      </c>
      <c r="I193" s="1">
        <v>1534</v>
      </c>
    </row>
    <row r="194" spans="1:9" x14ac:dyDescent="0.25">
      <c r="A194" s="1" t="s">
        <v>1012</v>
      </c>
      <c r="B194" s="57">
        <v>43293</v>
      </c>
      <c r="C194" s="1" t="s">
        <v>825</v>
      </c>
      <c r="D194" s="1" t="s">
        <v>826</v>
      </c>
      <c r="E194" s="1" t="s">
        <v>827</v>
      </c>
      <c r="F194" s="1" t="s">
        <v>828</v>
      </c>
      <c r="G194" s="1" t="s">
        <v>819</v>
      </c>
      <c r="H194" s="1">
        <v>3261</v>
      </c>
      <c r="I194" s="1">
        <v>2446</v>
      </c>
    </row>
    <row r="195" spans="1:9" x14ac:dyDescent="0.25">
      <c r="A195" s="1" t="s">
        <v>1013</v>
      </c>
      <c r="B195" s="57">
        <v>43294</v>
      </c>
      <c r="C195" s="1" t="s">
        <v>830</v>
      </c>
      <c r="D195" s="1" t="s">
        <v>826</v>
      </c>
      <c r="E195" s="1" t="s">
        <v>827</v>
      </c>
      <c r="F195" s="1" t="s">
        <v>828</v>
      </c>
      <c r="G195" s="1" t="s">
        <v>819</v>
      </c>
      <c r="H195" s="1">
        <v>2577</v>
      </c>
      <c r="I195" s="1">
        <v>1907</v>
      </c>
    </row>
    <row r="196" spans="1:9" x14ac:dyDescent="0.25">
      <c r="A196" s="1" t="s">
        <v>1014</v>
      </c>
      <c r="B196" s="57">
        <v>43295</v>
      </c>
      <c r="C196" s="1" t="s">
        <v>832</v>
      </c>
      <c r="D196" s="1" t="s">
        <v>826</v>
      </c>
      <c r="E196" s="1" t="s">
        <v>827</v>
      </c>
      <c r="F196" s="1" t="s">
        <v>828</v>
      </c>
      <c r="G196" s="1" t="s">
        <v>819</v>
      </c>
      <c r="H196" s="1">
        <v>3131</v>
      </c>
      <c r="I196" s="1">
        <v>1973</v>
      </c>
    </row>
    <row r="197" spans="1:9" x14ac:dyDescent="0.25">
      <c r="A197" s="1" t="s">
        <v>1015</v>
      </c>
      <c r="B197" s="57">
        <v>43296</v>
      </c>
      <c r="C197" s="1" t="s">
        <v>834</v>
      </c>
      <c r="D197" s="1" t="s">
        <v>826</v>
      </c>
      <c r="E197" s="1" t="s">
        <v>827</v>
      </c>
      <c r="F197" s="1" t="s">
        <v>828</v>
      </c>
      <c r="G197" s="1" t="s">
        <v>819</v>
      </c>
      <c r="H197" s="1">
        <v>2683</v>
      </c>
      <c r="I197" s="1">
        <v>1798</v>
      </c>
    </row>
    <row r="198" spans="1:9" x14ac:dyDescent="0.25">
      <c r="A198" s="1" t="s">
        <v>1016</v>
      </c>
      <c r="B198" s="57">
        <v>43297</v>
      </c>
      <c r="C198" s="1" t="s">
        <v>836</v>
      </c>
      <c r="D198" s="1" t="s">
        <v>826</v>
      </c>
      <c r="E198" s="1" t="s">
        <v>827</v>
      </c>
      <c r="F198" s="1" t="s">
        <v>828</v>
      </c>
      <c r="G198" s="1" t="s">
        <v>819</v>
      </c>
      <c r="H198" s="1">
        <v>2613</v>
      </c>
      <c r="I198" s="1">
        <v>1751</v>
      </c>
    </row>
    <row r="199" spans="1:9" x14ac:dyDescent="0.25">
      <c r="A199" s="1" t="s">
        <v>1017</v>
      </c>
      <c r="B199" s="57">
        <v>43298</v>
      </c>
      <c r="C199" s="1" t="s">
        <v>838</v>
      </c>
      <c r="D199" s="1" t="s">
        <v>839</v>
      </c>
      <c r="E199" s="1" t="s">
        <v>840</v>
      </c>
      <c r="F199" s="1" t="s">
        <v>841</v>
      </c>
      <c r="G199" s="1" t="s">
        <v>85</v>
      </c>
      <c r="H199" s="1">
        <v>4076</v>
      </c>
      <c r="I199" s="1">
        <v>2609</v>
      </c>
    </row>
    <row r="200" spans="1:9" x14ac:dyDescent="0.25">
      <c r="A200" s="1" t="s">
        <v>1018</v>
      </c>
      <c r="B200" s="57">
        <v>43299</v>
      </c>
      <c r="C200" s="1" t="s">
        <v>843</v>
      </c>
      <c r="D200" s="1" t="s">
        <v>844</v>
      </c>
      <c r="E200" s="1" t="s">
        <v>845</v>
      </c>
      <c r="F200" s="1" t="s">
        <v>846</v>
      </c>
      <c r="G200" s="1" t="s">
        <v>124</v>
      </c>
      <c r="H200" s="1">
        <v>4400</v>
      </c>
      <c r="I200" s="1">
        <v>3432</v>
      </c>
    </row>
    <row r="201" spans="1:9" x14ac:dyDescent="0.25">
      <c r="A201" s="1" t="s">
        <v>1019</v>
      </c>
      <c r="B201" s="57">
        <v>43300</v>
      </c>
      <c r="C201" s="1" t="s">
        <v>848</v>
      </c>
      <c r="D201" s="1" t="s">
        <v>839</v>
      </c>
      <c r="E201" s="1" t="s">
        <v>849</v>
      </c>
      <c r="F201" s="1" t="s">
        <v>850</v>
      </c>
      <c r="G201" s="1" t="s">
        <v>85</v>
      </c>
      <c r="H201" s="1">
        <v>2466</v>
      </c>
      <c r="I201" s="1">
        <v>1603</v>
      </c>
    </row>
    <row r="202" spans="1:9" x14ac:dyDescent="0.25">
      <c r="A202" s="1" t="s">
        <v>1020</v>
      </c>
      <c r="B202" s="57">
        <v>43301</v>
      </c>
      <c r="C202" s="1" t="s">
        <v>852</v>
      </c>
      <c r="D202" s="1" t="s">
        <v>853</v>
      </c>
      <c r="E202" s="1" t="s">
        <v>854</v>
      </c>
      <c r="F202" s="1" t="s">
        <v>232</v>
      </c>
      <c r="G202" s="1" t="s">
        <v>124</v>
      </c>
      <c r="H202" s="1">
        <v>2137</v>
      </c>
      <c r="I202" s="1">
        <v>1325</v>
      </c>
    </row>
    <row r="203" spans="1:9" x14ac:dyDescent="0.25">
      <c r="A203" s="1" t="s">
        <v>1021</v>
      </c>
      <c r="B203" s="57">
        <v>43302</v>
      </c>
      <c r="C203" s="1" t="s">
        <v>856</v>
      </c>
      <c r="D203" s="1" t="s">
        <v>853</v>
      </c>
      <c r="E203" s="1" t="s">
        <v>857</v>
      </c>
      <c r="F203" s="1" t="s">
        <v>858</v>
      </c>
      <c r="G203" s="1" t="s">
        <v>124</v>
      </c>
      <c r="H203" s="1">
        <v>4216</v>
      </c>
      <c r="I203" s="1">
        <v>3162</v>
      </c>
    </row>
    <row r="204" spans="1:9" x14ac:dyDescent="0.25">
      <c r="A204" s="1" t="s">
        <v>1022</v>
      </c>
      <c r="B204" s="57">
        <v>43303</v>
      </c>
      <c r="C204" s="1" t="s">
        <v>860</v>
      </c>
      <c r="D204" s="1" t="s">
        <v>853</v>
      </c>
      <c r="E204" s="1" t="s">
        <v>857</v>
      </c>
      <c r="F204" s="1" t="s">
        <v>858</v>
      </c>
      <c r="G204" s="1" t="s">
        <v>124</v>
      </c>
      <c r="H204" s="1">
        <v>3165</v>
      </c>
      <c r="I204" s="1">
        <v>2310</v>
      </c>
    </row>
    <row r="205" spans="1:9" x14ac:dyDescent="0.25">
      <c r="A205" s="1" t="s">
        <v>1023</v>
      </c>
      <c r="B205" s="57">
        <v>43304</v>
      </c>
      <c r="C205" s="1" t="s">
        <v>862</v>
      </c>
      <c r="D205" s="1" t="s">
        <v>863</v>
      </c>
      <c r="E205" s="1" t="s">
        <v>864</v>
      </c>
      <c r="F205" s="1" t="s">
        <v>865</v>
      </c>
      <c r="G205" s="1" t="s">
        <v>819</v>
      </c>
      <c r="H205" s="1">
        <v>3263</v>
      </c>
      <c r="I205" s="1">
        <v>2545</v>
      </c>
    </row>
    <row r="206" spans="1:9" x14ac:dyDescent="0.25">
      <c r="A206" s="1" t="s">
        <v>1024</v>
      </c>
      <c r="B206" s="57">
        <v>43305</v>
      </c>
      <c r="C206" s="1" t="s">
        <v>867</v>
      </c>
      <c r="D206" s="1" t="s">
        <v>826</v>
      </c>
      <c r="E206" s="1" t="s">
        <v>868</v>
      </c>
      <c r="F206" s="1" t="s">
        <v>869</v>
      </c>
      <c r="G206" s="1" t="s">
        <v>819</v>
      </c>
      <c r="H206" s="1">
        <v>2946</v>
      </c>
      <c r="I206" s="1">
        <v>2210</v>
      </c>
    </row>
    <row r="207" spans="1:9" x14ac:dyDescent="0.25">
      <c r="A207" s="1" t="s">
        <v>1025</v>
      </c>
      <c r="B207" s="57">
        <v>43306</v>
      </c>
      <c r="C207" s="1" t="s">
        <v>871</v>
      </c>
      <c r="D207" s="1" t="s">
        <v>872</v>
      </c>
      <c r="E207" s="1" t="s">
        <v>873</v>
      </c>
      <c r="F207" s="1" t="s">
        <v>874</v>
      </c>
      <c r="G207" s="1" t="s">
        <v>819</v>
      </c>
      <c r="H207" s="1">
        <v>2989</v>
      </c>
      <c r="I207" s="1">
        <v>2212</v>
      </c>
    </row>
    <row r="208" spans="1:9" x14ac:dyDescent="0.25">
      <c r="A208" s="1" t="s">
        <v>1026</v>
      </c>
      <c r="B208" s="57">
        <v>43307</v>
      </c>
      <c r="C208" s="1" t="s">
        <v>876</v>
      </c>
      <c r="D208" s="1" t="s">
        <v>872</v>
      </c>
      <c r="E208" s="1" t="s">
        <v>873</v>
      </c>
      <c r="F208" s="1" t="s">
        <v>874</v>
      </c>
      <c r="G208" s="1" t="s">
        <v>819</v>
      </c>
      <c r="H208" s="1">
        <v>3463</v>
      </c>
      <c r="I208" s="1">
        <v>2770</v>
      </c>
    </row>
    <row r="209" spans="1:9" x14ac:dyDescent="0.25">
      <c r="A209" s="1" t="s">
        <v>1027</v>
      </c>
      <c r="B209" s="57">
        <v>43308</v>
      </c>
      <c r="C209" s="1" t="s">
        <v>878</v>
      </c>
      <c r="D209" s="1" t="s">
        <v>853</v>
      </c>
      <c r="E209" s="1" t="s">
        <v>854</v>
      </c>
      <c r="F209" s="1" t="s">
        <v>224</v>
      </c>
      <c r="G209" s="1" t="s">
        <v>124</v>
      </c>
      <c r="H209" s="1">
        <v>2677</v>
      </c>
      <c r="I209" s="1">
        <v>2088</v>
      </c>
    </row>
    <row r="210" spans="1:9" x14ac:dyDescent="0.25">
      <c r="A210" s="1" t="s">
        <v>1028</v>
      </c>
      <c r="B210" s="57">
        <v>43309</v>
      </c>
      <c r="C210" s="1" t="s">
        <v>880</v>
      </c>
      <c r="D210" s="1" t="s">
        <v>853</v>
      </c>
      <c r="E210" s="1" t="s">
        <v>854</v>
      </c>
      <c r="F210" s="1" t="s">
        <v>224</v>
      </c>
      <c r="G210" s="1" t="s">
        <v>124</v>
      </c>
      <c r="H210" s="1">
        <v>2966</v>
      </c>
      <c r="I210" s="1">
        <v>1928</v>
      </c>
    </row>
    <row r="211" spans="1:9" x14ac:dyDescent="0.25">
      <c r="A211" s="1" t="s">
        <v>1029</v>
      </c>
      <c r="B211" s="57">
        <v>43310</v>
      </c>
      <c r="C211" s="1" t="s">
        <v>882</v>
      </c>
      <c r="D211" s="1" t="s">
        <v>853</v>
      </c>
      <c r="E211" s="1" t="s">
        <v>854</v>
      </c>
      <c r="F211" s="1" t="s">
        <v>224</v>
      </c>
      <c r="G211" s="1" t="s">
        <v>124</v>
      </c>
      <c r="H211" s="1">
        <v>2106</v>
      </c>
      <c r="I211" s="1">
        <v>1516</v>
      </c>
    </row>
    <row r="212" spans="1:9" x14ac:dyDescent="0.25">
      <c r="A212" s="1" t="s">
        <v>1030</v>
      </c>
      <c r="B212" s="57">
        <v>43311</v>
      </c>
      <c r="C212" s="1" t="s">
        <v>816</v>
      </c>
      <c r="D212" s="1" t="s">
        <v>817</v>
      </c>
      <c r="E212" s="1" t="s">
        <v>818</v>
      </c>
      <c r="F212" s="1" t="s">
        <v>818</v>
      </c>
      <c r="G212" s="1" t="s">
        <v>819</v>
      </c>
      <c r="H212" s="1">
        <v>3664</v>
      </c>
      <c r="I212" s="1">
        <v>2272</v>
      </c>
    </row>
    <row r="213" spans="1:9" x14ac:dyDescent="0.25">
      <c r="A213" s="1" t="s">
        <v>1031</v>
      </c>
      <c r="B213" s="57">
        <v>43312</v>
      </c>
      <c r="C213" s="1" t="s">
        <v>821</v>
      </c>
      <c r="D213" s="1" t="s">
        <v>817</v>
      </c>
      <c r="E213" s="1" t="s">
        <v>818</v>
      </c>
      <c r="F213" s="1" t="s">
        <v>818</v>
      </c>
      <c r="G213" s="1" t="s">
        <v>819</v>
      </c>
      <c r="H213" s="1">
        <v>3069</v>
      </c>
      <c r="I213" s="1">
        <v>2240</v>
      </c>
    </row>
    <row r="214" spans="1:9" x14ac:dyDescent="0.25">
      <c r="A214" s="1" t="s">
        <v>1032</v>
      </c>
      <c r="B214" s="57">
        <v>43313</v>
      </c>
      <c r="C214" s="1" t="s">
        <v>823</v>
      </c>
      <c r="D214" s="1" t="s">
        <v>817</v>
      </c>
      <c r="E214" s="1" t="s">
        <v>818</v>
      </c>
      <c r="F214" s="1" t="s">
        <v>818</v>
      </c>
      <c r="G214" s="1" t="s">
        <v>819</v>
      </c>
      <c r="H214" s="1">
        <v>3755</v>
      </c>
      <c r="I214" s="1">
        <v>2516</v>
      </c>
    </row>
    <row r="215" spans="1:9" x14ac:dyDescent="0.25">
      <c r="A215" s="1" t="s">
        <v>1033</v>
      </c>
      <c r="B215" s="57">
        <v>43314</v>
      </c>
      <c r="C215" s="1" t="s">
        <v>825</v>
      </c>
      <c r="D215" s="1" t="s">
        <v>826</v>
      </c>
      <c r="E215" s="1" t="s">
        <v>827</v>
      </c>
      <c r="F215" s="1" t="s">
        <v>828</v>
      </c>
      <c r="G215" s="1" t="s">
        <v>819</v>
      </c>
      <c r="H215" s="1">
        <v>3215</v>
      </c>
      <c r="I215" s="1">
        <v>2058</v>
      </c>
    </row>
    <row r="216" spans="1:9" x14ac:dyDescent="0.25">
      <c r="A216" s="1" t="s">
        <v>1034</v>
      </c>
      <c r="B216" s="57">
        <v>43315</v>
      </c>
      <c r="C216" s="1" t="s">
        <v>830</v>
      </c>
      <c r="D216" s="1" t="s">
        <v>826</v>
      </c>
      <c r="E216" s="1" t="s">
        <v>827</v>
      </c>
      <c r="F216" s="1" t="s">
        <v>828</v>
      </c>
      <c r="G216" s="1" t="s">
        <v>819</v>
      </c>
      <c r="H216" s="1">
        <v>3685</v>
      </c>
      <c r="I216" s="1">
        <v>2543</v>
      </c>
    </row>
    <row r="217" spans="1:9" x14ac:dyDescent="0.25">
      <c r="A217" s="1" t="s">
        <v>1035</v>
      </c>
      <c r="B217" s="57">
        <v>43316</v>
      </c>
      <c r="C217" s="1" t="s">
        <v>832</v>
      </c>
      <c r="D217" s="1" t="s">
        <v>826</v>
      </c>
      <c r="E217" s="1" t="s">
        <v>827</v>
      </c>
      <c r="F217" s="1" t="s">
        <v>828</v>
      </c>
      <c r="G217" s="1" t="s">
        <v>819</v>
      </c>
      <c r="H217" s="1">
        <v>4015</v>
      </c>
      <c r="I217" s="1">
        <v>2730</v>
      </c>
    </row>
    <row r="218" spans="1:9" x14ac:dyDescent="0.25">
      <c r="A218" s="1" t="s">
        <v>1036</v>
      </c>
      <c r="B218" s="57">
        <v>43317</v>
      </c>
      <c r="C218" s="1" t="s">
        <v>834</v>
      </c>
      <c r="D218" s="1" t="s">
        <v>826</v>
      </c>
      <c r="E218" s="1" t="s">
        <v>827</v>
      </c>
      <c r="F218" s="1" t="s">
        <v>828</v>
      </c>
      <c r="G218" s="1" t="s">
        <v>819</v>
      </c>
      <c r="H218" s="1">
        <v>2517</v>
      </c>
      <c r="I218" s="1">
        <v>1661</v>
      </c>
    </row>
    <row r="219" spans="1:9" x14ac:dyDescent="0.25">
      <c r="A219" s="1" t="s">
        <v>1037</v>
      </c>
      <c r="B219" s="57">
        <v>43318</v>
      </c>
      <c r="C219" s="1" t="s">
        <v>836</v>
      </c>
      <c r="D219" s="1" t="s">
        <v>826</v>
      </c>
      <c r="E219" s="1" t="s">
        <v>827</v>
      </c>
      <c r="F219" s="1" t="s">
        <v>828</v>
      </c>
      <c r="G219" s="1" t="s">
        <v>819</v>
      </c>
      <c r="H219" s="1">
        <v>2598</v>
      </c>
      <c r="I219" s="1">
        <v>1793</v>
      </c>
    </row>
    <row r="220" spans="1:9" x14ac:dyDescent="0.25">
      <c r="A220" s="1" t="s">
        <v>1038</v>
      </c>
      <c r="B220" s="57">
        <v>43319</v>
      </c>
      <c r="C220" s="1" t="s">
        <v>838</v>
      </c>
      <c r="D220" s="1" t="s">
        <v>839</v>
      </c>
      <c r="E220" s="1" t="s">
        <v>840</v>
      </c>
      <c r="F220" s="1" t="s">
        <v>841</v>
      </c>
      <c r="G220" s="1" t="s">
        <v>85</v>
      </c>
      <c r="H220" s="1">
        <v>3513</v>
      </c>
      <c r="I220" s="1">
        <v>2740</v>
      </c>
    </row>
    <row r="221" spans="1:9" x14ac:dyDescent="0.25">
      <c r="A221" s="1" t="s">
        <v>1039</v>
      </c>
      <c r="B221" s="57">
        <v>43320</v>
      </c>
      <c r="C221" s="1" t="s">
        <v>843</v>
      </c>
      <c r="D221" s="1" t="s">
        <v>844</v>
      </c>
      <c r="E221" s="1" t="s">
        <v>845</v>
      </c>
      <c r="F221" s="1" t="s">
        <v>846</v>
      </c>
      <c r="G221" s="1" t="s">
        <v>124</v>
      </c>
      <c r="H221" s="1">
        <v>2247</v>
      </c>
      <c r="I221" s="1">
        <v>1775</v>
      </c>
    </row>
    <row r="222" spans="1:9" x14ac:dyDescent="0.25">
      <c r="A222" s="1" t="s">
        <v>1040</v>
      </c>
      <c r="B222" s="57">
        <v>43321</v>
      </c>
      <c r="C222" s="1" t="s">
        <v>848</v>
      </c>
      <c r="D222" s="1" t="s">
        <v>839</v>
      </c>
      <c r="E222" s="1" t="s">
        <v>849</v>
      </c>
      <c r="F222" s="1" t="s">
        <v>850</v>
      </c>
      <c r="G222" s="1" t="s">
        <v>85</v>
      </c>
      <c r="H222" s="1">
        <v>2878</v>
      </c>
      <c r="I222" s="1">
        <v>1784</v>
      </c>
    </row>
    <row r="223" spans="1:9" x14ac:dyDescent="0.25">
      <c r="A223" s="1" t="s">
        <v>1041</v>
      </c>
      <c r="B223" s="57">
        <v>43322</v>
      </c>
      <c r="C223" s="1" t="s">
        <v>852</v>
      </c>
      <c r="D223" s="1" t="s">
        <v>853</v>
      </c>
      <c r="E223" s="1" t="s">
        <v>854</v>
      </c>
      <c r="F223" s="1" t="s">
        <v>232</v>
      </c>
      <c r="G223" s="1" t="s">
        <v>124</v>
      </c>
      <c r="H223" s="1">
        <v>3425</v>
      </c>
      <c r="I223" s="1">
        <v>2706</v>
      </c>
    </row>
    <row r="224" spans="1:9" x14ac:dyDescent="0.25">
      <c r="A224" s="1" t="s">
        <v>1042</v>
      </c>
      <c r="B224" s="57">
        <v>43323</v>
      </c>
      <c r="C224" s="1" t="s">
        <v>856</v>
      </c>
      <c r="D224" s="1" t="s">
        <v>853</v>
      </c>
      <c r="E224" s="1" t="s">
        <v>857</v>
      </c>
      <c r="F224" s="1" t="s">
        <v>858</v>
      </c>
      <c r="G224" s="1" t="s">
        <v>124</v>
      </c>
      <c r="H224" s="1">
        <v>2865</v>
      </c>
      <c r="I224" s="1">
        <v>2091</v>
      </c>
    </row>
    <row r="225" spans="1:9" x14ac:dyDescent="0.25">
      <c r="A225" s="1" t="s">
        <v>1043</v>
      </c>
      <c r="B225" s="57">
        <v>43324</v>
      </c>
      <c r="C225" s="1" t="s">
        <v>860</v>
      </c>
      <c r="D225" s="1" t="s">
        <v>853</v>
      </c>
      <c r="E225" s="1" t="s">
        <v>857</v>
      </c>
      <c r="F225" s="1" t="s">
        <v>858</v>
      </c>
      <c r="G225" s="1" t="s">
        <v>124</v>
      </c>
      <c r="H225" s="1">
        <v>2393</v>
      </c>
      <c r="I225" s="1">
        <v>1723</v>
      </c>
    </row>
    <row r="226" spans="1:9" x14ac:dyDescent="0.25">
      <c r="A226" s="1" t="s">
        <v>1044</v>
      </c>
      <c r="B226" s="57">
        <v>43325</v>
      </c>
      <c r="C226" s="1" t="s">
        <v>862</v>
      </c>
      <c r="D226" s="1" t="s">
        <v>863</v>
      </c>
      <c r="E226" s="1" t="s">
        <v>864</v>
      </c>
      <c r="F226" s="1" t="s">
        <v>865</v>
      </c>
      <c r="G226" s="1" t="s">
        <v>819</v>
      </c>
      <c r="H226" s="1">
        <v>3149</v>
      </c>
      <c r="I226" s="1">
        <v>2299</v>
      </c>
    </row>
    <row r="227" spans="1:9" x14ac:dyDescent="0.25">
      <c r="A227" s="1" t="s">
        <v>1045</v>
      </c>
      <c r="B227" s="57">
        <v>43326</v>
      </c>
      <c r="C227" s="1" t="s">
        <v>867</v>
      </c>
      <c r="D227" s="1" t="s">
        <v>826</v>
      </c>
      <c r="E227" s="1" t="s">
        <v>868</v>
      </c>
      <c r="F227" s="1" t="s">
        <v>869</v>
      </c>
      <c r="G227" s="1" t="s">
        <v>819</v>
      </c>
      <c r="H227" s="1">
        <v>3277</v>
      </c>
      <c r="I227" s="1">
        <v>2130</v>
      </c>
    </row>
    <row r="228" spans="1:9" x14ac:dyDescent="0.25">
      <c r="A228" s="1" t="s">
        <v>1046</v>
      </c>
      <c r="B228" s="57">
        <v>43327</v>
      </c>
      <c r="C228" s="1" t="s">
        <v>871</v>
      </c>
      <c r="D228" s="1" t="s">
        <v>872</v>
      </c>
      <c r="E228" s="1" t="s">
        <v>873</v>
      </c>
      <c r="F228" s="1" t="s">
        <v>874</v>
      </c>
      <c r="G228" s="1" t="s">
        <v>819</v>
      </c>
      <c r="H228" s="1">
        <v>2713</v>
      </c>
      <c r="I228" s="1">
        <v>1682</v>
      </c>
    </row>
    <row r="229" spans="1:9" x14ac:dyDescent="0.25">
      <c r="A229" s="1" t="s">
        <v>1047</v>
      </c>
      <c r="B229" s="57">
        <v>43328</v>
      </c>
      <c r="C229" s="1" t="s">
        <v>876</v>
      </c>
      <c r="D229" s="1" t="s">
        <v>872</v>
      </c>
      <c r="E229" s="1" t="s">
        <v>873</v>
      </c>
      <c r="F229" s="1" t="s">
        <v>874</v>
      </c>
      <c r="G229" s="1" t="s">
        <v>819</v>
      </c>
      <c r="H229" s="1">
        <v>3381</v>
      </c>
      <c r="I229" s="1">
        <v>2231</v>
      </c>
    </row>
    <row r="230" spans="1:9" x14ac:dyDescent="0.25">
      <c r="A230" s="1" t="s">
        <v>1048</v>
      </c>
      <c r="B230" s="57">
        <v>43329</v>
      </c>
      <c r="C230" s="1" t="s">
        <v>878</v>
      </c>
      <c r="D230" s="1" t="s">
        <v>853</v>
      </c>
      <c r="E230" s="1" t="s">
        <v>854</v>
      </c>
      <c r="F230" s="1" t="s">
        <v>224</v>
      </c>
      <c r="G230" s="1" t="s">
        <v>124</v>
      </c>
      <c r="H230" s="1">
        <v>2545</v>
      </c>
      <c r="I230" s="1">
        <v>2011</v>
      </c>
    </row>
    <row r="231" spans="1:9" x14ac:dyDescent="0.25">
      <c r="A231" s="1" t="s">
        <v>1049</v>
      </c>
      <c r="B231" s="57">
        <v>43330</v>
      </c>
      <c r="C231" s="1" t="s">
        <v>880</v>
      </c>
      <c r="D231" s="1" t="s">
        <v>853</v>
      </c>
      <c r="E231" s="1" t="s">
        <v>854</v>
      </c>
      <c r="F231" s="1" t="s">
        <v>224</v>
      </c>
      <c r="G231" s="1" t="s">
        <v>124</v>
      </c>
      <c r="H231" s="1">
        <v>4473</v>
      </c>
      <c r="I231" s="1">
        <v>2729</v>
      </c>
    </row>
    <row r="232" spans="1:9" x14ac:dyDescent="0.25">
      <c r="A232" s="1" t="s">
        <v>1050</v>
      </c>
      <c r="B232" s="57">
        <v>43331</v>
      </c>
      <c r="C232" s="1" t="s">
        <v>882</v>
      </c>
      <c r="D232" s="1" t="s">
        <v>853</v>
      </c>
      <c r="E232" s="1" t="s">
        <v>854</v>
      </c>
      <c r="F232" s="1" t="s">
        <v>224</v>
      </c>
      <c r="G232" s="1" t="s">
        <v>124</v>
      </c>
      <c r="H232" s="1">
        <v>3332</v>
      </c>
      <c r="I232" s="1">
        <v>2132</v>
      </c>
    </row>
    <row r="233" spans="1:9" x14ac:dyDescent="0.25">
      <c r="A233" s="1" t="s">
        <v>1051</v>
      </c>
      <c r="B233" s="57">
        <v>43332</v>
      </c>
      <c r="C233" s="1" t="s">
        <v>816</v>
      </c>
      <c r="D233" s="1" t="s">
        <v>817</v>
      </c>
      <c r="E233" s="1" t="s">
        <v>818</v>
      </c>
      <c r="F233" s="1" t="s">
        <v>818</v>
      </c>
      <c r="G233" s="1" t="s">
        <v>819</v>
      </c>
      <c r="H233" s="1">
        <v>2283</v>
      </c>
      <c r="I233" s="1">
        <v>1438</v>
      </c>
    </row>
    <row r="234" spans="1:9" x14ac:dyDescent="0.25">
      <c r="A234" s="1" t="s">
        <v>1052</v>
      </c>
      <c r="B234" s="57">
        <v>43333</v>
      </c>
      <c r="C234" s="1" t="s">
        <v>821</v>
      </c>
      <c r="D234" s="1" t="s">
        <v>817</v>
      </c>
      <c r="E234" s="1" t="s">
        <v>818</v>
      </c>
      <c r="F234" s="1" t="s">
        <v>818</v>
      </c>
      <c r="G234" s="1" t="s">
        <v>819</v>
      </c>
      <c r="H234" s="1">
        <v>2696</v>
      </c>
      <c r="I234" s="1">
        <v>1833</v>
      </c>
    </row>
    <row r="235" spans="1:9" x14ac:dyDescent="0.25">
      <c r="A235" s="1" t="s">
        <v>1053</v>
      </c>
      <c r="B235" s="57">
        <v>43334</v>
      </c>
      <c r="C235" s="1" t="s">
        <v>823</v>
      </c>
      <c r="D235" s="1" t="s">
        <v>817</v>
      </c>
      <c r="E235" s="1" t="s">
        <v>818</v>
      </c>
      <c r="F235" s="1" t="s">
        <v>818</v>
      </c>
      <c r="G235" s="1" t="s">
        <v>819</v>
      </c>
      <c r="H235" s="1">
        <v>4061</v>
      </c>
      <c r="I235" s="1">
        <v>3127</v>
      </c>
    </row>
    <row r="236" spans="1:9" x14ac:dyDescent="0.25">
      <c r="A236" s="1" t="s">
        <v>1054</v>
      </c>
      <c r="B236" s="57">
        <v>43335</v>
      </c>
      <c r="C236" s="1" t="s">
        <v>825</v>
      </c>
      <c r="D236" s="1" t="s">
        <v>826</v>
      </c>
      <c r="E236" s="1" t="s">
        <v>827</v>
      </c>
      <c r="F236" s="1" t="s">
        <v>828</v>
      </c>
      <c r="G236" s="1" t="s">
        <v>819</v>
      </c>
      <c r="H236" s="1">
        <v>2382</v>
      </c>
      <c r="I236" s="1">
        <v>1548</v>
      </c>
    </row>
    <row r="237" spans="1:9" x14ac:dyDescent="0.25">
      <c r="A237" s="1" t="s">
        <v>1055</v>
      </c>
      <c r="B237" s="57">
        <v>43336</v>
      </c>
      <c r="C237" s="1" t="s">
        <v>830</v>
      </c>
      <c r="D237" s="1" t="s">
        <v>826</v>
      </c>
      <c r="E237" s="1" t="s">
        <v>827</v>
      </c>
      <c r="F237" s="1" t="s">
        <v>828</v>
      </c>
      <c r="G237" s="1" t="s">
        <v>819</v>
      </c>
      <c r="H237" s="1">
        <v>4336</v>
      </c>
      <c r="I237" s="1">
        <v>2602</v>
      </c>
    </row>
    <row r="238" spans="1:9" x14ac:dyDescent="0.25">
      <c r="A238" s="1" t="s">
        <v>1056</v>
      </c>
      <c r="B238" s="57">
        <v>43337</v>
      </c>
      <c r="C238" s="1" t="s">
        <v>832</v>
      </c>
      <c r="D238" s="1" t="s">
        <v>826</v>
      </c>
      <c r="E238" s="1" t="s">
        <v>827</v>
      </c>
      <c r="F238" s="1" t="s">
        <v>828</v>
      </c>
      <c r="G238" s="1" t="s">
        <v>819</v>
      </c>
      <c r="H238" s="1">
        <v>2602</v>
      </c>
      <c r="I238" s="1">
        <v>2004</v>
      </c>
    </row>
    <row r="239" spans="1:9" x14ac:dyDescent="0.25">
      <c r="A239" s="1" t="s">
        <v>1057</v>
      </c>
      <c r="B239" s="57">
        <v>43338</v>
      </c>
      <c r="C239" s="1" t="s">
        <v>834</v>
      </c>
      <c r="D239" s="1" t="s">
        <v>826</v>
      </c>
      <c r="E239" s="1" t="s">
        <v>827</v>
      </c>
      <c r="F239" s="1" t="s">
        <v>828</v>
      </c>
      <c r="G239" s="1" t="s">
        <v>819</v>
      </c>
      <c r="H239" s="1">
        <v>3094</v>
      </c>
      <c r="I239" s="1">
        <v>2073</v>
      </c>
    </row>
    <row r="240" spans="1:9" x14ac:dyDescent="0.25">
      <c r="A240" s="1" t="s">
        <v>1058</v>
      </c>
      <c r="B240" s="57">
        <v>43339</v>
      </c>
      <c r="C240" s="1" t="s">
        <v>836</v>
      </c>
      <c r="D240" s="1" t="s">
        <v>826</v>
      </c>
      <c r="E240" s="1" t="s">
        <v>827</v>
      </c>
      <c r="F240" s="1" t="s">
        <v>828</v>
      </c>
      <c r="G240" s="1" t="s">
        <v>819</v>
      </c>
      <c r="H240" s="1">
        <v>3510</v>
      </c>
      <c r="I240" s="1">
        <v>2141</v>
      </c>
    </row>
    <row r="241" spans="1:9" x14ac:dyDescent="0.25">
      <c r="A241" s="1" t="s">
        <v>1059</v>
      </c>
      <c r="B241" s="57">
        <v>43340</v>
      </c>
      <c r="C241" s="1" t="s">
        <v>838</v>
      </c>
      <c r="D241" s="1" t="s">
        <v>839</v>
      </c>
      <c r="E241" s="1" t="s">
        <v>840</v>
      </c>
      <c r="F241" s="1" t="s">
        <v>841</v>
      </c>
      <c r="G241" s="1" t="s">
        <v>85</v>
      </c>
      <c r="H241" s="1">
        <v>2134</v>
      </c>
      <c r="I241" s="1">
        <v>1536</v>
      </c>
    </row>
    <row r="242" spans="1:9" x14ac:dyDescent="0.25">
      <c r="A242" s="1" t="s">
        <v>1060</v>
      </c>
      <c r="B242" s="57">
        <v>43341</v>
      </c>
      <c r="C242" s="1" t="s">
        <v>843</v>
      </c>
      <c r="D242" s="1" t="s">
        <v>844</v>
      </c>
      <c r="E242" s="1" t="s">
        <v>845</v>
      </c>
      <c r="F242" s="1" t="s">
        <v>846</v>
      </c>
      <c r="G242" s="1" t="s">
        <v>124</v>
      </c>
      <c r="H242" s="1">
        <v>2661</v>
      </c>
      <c r="I242" s="1">
        <v>2022</v>
      </c>
    </row>
    <row r="243" spans="1:9" x14ac:dyDescent="0.25">
      <c r="A243" s="1" t="s">
        <v>1061</v>
      </c>
      <c r="B243" s="57">
        <v>43342</v>
      </c>
      <c r="C243" s="1" t="s">
        <v>848</v>
      </c>
      <c r="D243" s="1" t="s">
        <v>839</v>
      </c>
      <c r="E243" s="1" t="s">
        <v>849</v>
      </c>
      <c r="F243" s="1" t="s">
        <v>850</v>
      </c>
      <c r="G243" s="1" t="s">
        <v>85</v>
      </c>
      <c r="H243" s="1">
        <v>2901</v>
      </c>
      <c r="I243" s="1">
        <v>1741</v>
      </c>
    </row>
    <row r="244" spans="1:9" x14ac:dyDescent="0.25">
      <c r="A244" s="1" t="s">
        <v>1062</v>
      </c>
      <c r="B244" s="57">
        <v>43343</v>
      </c>
      <c r="C244" s="1" t="s">
        <v>852</v>
      </c>
      <c r="D244" s="1" t="s">
        <v>853</v>
      </c>
      <c r="E244" s="1" t="s">
        <v>854</v>
      </c>
      <c r="F244" s="1" t="s">
        <v>232</v>
      </c>
      <c r="G244" s="1" t="s">
        <v>124</v>
      </c>
      <c r="H244" s="1">
        <v>3784</v>
      </c>
      <c r="I244" s="1">
        <v>2384</v>
      </c>
    </row>
    <row r="245" spans="1:9" x14ac:dyDescent="0.25">
      <c r="A245" s="1" t="s">
        <v>1063</v>
      </c>
      <c r="B245" s="57">
        <v>43344</v>
      </c>
      <c r="C245" s="1" t="s">
        <v>856</v>
      </c>
      <c r="D245" s="1" t="s">
        <v>853</v>
      </c>
      <c r="E245" s="1" t="s">
        <v>857</v>
      </c>
      <c r="F245" s="1" t="s">
        <v>858</v>
      </c>
      <c r="G245" s="1" t="s">
        <v>124</v>
      </c>
      <c r="H245" s="1">
        <v>3135</v>
      </c>
      <c r="I245" s="1">
        <v>2445</v>
      </c>
    </row>
    <row r="246" spans="1:9" x14ac:dyDescent="0.25">
      <c r="A246" s="1" t="s">
        <v>1064</v>
      </c>
      <c r="B246" s="57">
        <v>43345</v>
      </c>
      <c r="C246" s="1" t="s">
        <v>860</v>
      </c>
      <c r="D246" s="1" t="s">
        <v>853</v>
      </c>
      <c r="E246" s="1" t="s">
        <v>857</v>
      </c>
      <c r="F246" s="1" t="s">
        <v>858</v>
      </c>
      <c r="G246" s="1" t="s">
        <v>124</v>
      </c>
      <c r="H246" s="1">
        <v>2802</v>
      </c>
      <c r="I246" s="1">
        <v>1877</v>
      </c>
    </row>
    <row r="247" spans="1:9" x14ac:dyDescent="0.25">
      <c r="A247" s="1" t="s">
        <v>1065</v>
      </c>
      <c r="B247" s="57">
        <v>43346</v>
      </c>
      <c r="C247" s="1" t="s">
        <v>862</v>
      </c>
      <c r="D247" s="1" t="s">
        <v>863</v>
      </c>
      <c r="E247" s="1" t="s">
        <v>864</v>
      </c>
      <c r="F247" s="1" t="s">
        <v>865</v>
      </c>
      <c r="G247" s="1" t="s">
        <v>819</v>
      </c>
      <c r="H247" s="1">
        <v>3486</v>
      </c>
      <c r="I247" s="1">
        <v>2789</v>
      </c>
    </row>
    <row r="248" spans="1:9" x14ac:dyDescent="0.25">
      <c r="A248" s="1" t="s">
        <v>1066</v>
      </c>
      <c r="B248" s="57">
        <v>43347</v>
      </c>
      <c r="C248" s="1" t="s">
        <v>867</v>
      </c>
      <c r="D248" s="1" t="s">
        <v>826</v>
      </c>
      <c r="E248" s="1" t="s">
        <v>868</v>
      </c>
      <c r="F248" s="1" t="s">
        <v>869</v>
      </c>
      <c r="G248" s="1" t="s">
        <v>819</v>
      </c>
      <c r="H248" s="1">
        <v>3422</v>
      </c>
      <c r="I248" s="1">
        <v>2122</v>
      </c>
    </row>
    <row r="249" spans="1:9" x14ac:dyDescent="0.25">
      <c r="A249" s="1" t="s">
        <v>1067</v>
      </c>
      <c r="B249" s="57">
        <v>43348</v>
      </c>
      <c r="C249" s="1" t="s">
        <v>871</v>
      </c>
      <c r="D249" s="1" t="s">
        <v>872</v>
      </c>
      <c r="E249" s="1" t="s">
        <v>873</v>
      </c>
      <c r="F249" s="1" t="s">
        <v>874</v>
      </c>
      <c r="G249" s="1" t="s">
        <v>819</v>
      </c>
      <c r="H249" s="1">
        <v>2842</v>
      </c>
      <c r="I249" s="1">
        <v>2188</v>
      </c>
    </row>
    <row r="250" spans="1:9" x14ac:dyDescent="0.25">
      <c r="A250" s="1" t="s">
        <v>1068</v>
      </c>
      <c r="B250" s="57">
        <v>43349</v>
      </c>
      <c r="C250" s="1" t="s">
        <v>876</v>
      </c>
      <c r="D250" s="1" t="s">
        <v>872</v>
      </c>
      <c r="E250" s="1" t="s">
        <v>873</v>
      </c>
      <c r="F250" s="1" t="s">
        <v>874</v>
      </c>
      <c r="G250" s="1" t="s">
        <v>819</v>
      </c>
      <c r="H250" s="1">
        <v>3846</v>
      </c>
      <c r="I250" s="1">
        <v>2500</v>
      </c>
    </row>
    <row r="251" spans="1:9" x14ac:dyDescent="0.25">
      <c r="A251" s="1" t="s">
        <v>1069</v>
      </c>
      <c r="B251" s="57">
        <v>43350</v>
      </c>
      <c r="C251" s="1" t="s">
        <v>878</v>
      </c>
      <c r="D251" s="1" t="s">
        <v>853</v>
      </c>
      <c r="E251" s="1" t="s">
        <v>854</v>
      </c>
      <c r="F251" s="1" t="s">
        <v>224</v>
      </c>
      <c r="G251" s="1" t="s">
        <v>124</v>
      </c>
      <c r="H251" s="1">
        <v>3131</v>
      </c>
      <c r="I251" s="1">
        <v>2380</v>
      </c>
    </row>
    <row r="252" spans="1:9" x14ac:dyDescent="0.25">
      <c r="A252" s="1" t="s">
        <v>1070</v>
      </c>
      <c r="B252" s="57">
        <v>43351</v>
      </c>
      <c r="C252" s="1" t="s">
        <v>880</v>
      </c>
      <c r="D252" s="1" t="s">
        <v>853</v>
      </c>
      <c r="E252" s="1" t="s">
        <v>854</v>
      </c>
      <c r="F252" s="1" t="s">
        <v>224</v>
      </c>
      <c r="G252" s="1" t="s">
        <v>124</v>
      </c>
      <c r="H252" s="1">
        <v>3825</v>
      </c>
      <c r="I252" s="1">
        <v>2333</v>
      </c>
    </row>
    <row r="253" spans="1:9" x14ac:dyDescent="0.25">
      <c r="A253" s="1" t="s">
        <v>1071</v>
      </c>
      <c r="B253" s="57">
        <v>43352</v>
      </c>
      <c r="C253" s="1" t="s">
        <v>882</v>
      </c>
      <c r="D253" s="1" t="s">
        <v>853</v>
      </c>
      <c r="E253" s="1" t="s">
        <v>854</v>
      </c>
      <c r="F253" s="1" t="s">
        <v>224</v>
      </c>
      <c r="G253" s="1" t="s">
        <v>124</v>
      </c>
      <c r="H253" s="1">
        <v>4362</v>
      </c>
      <c r="I253" s="1">
        <v>3446</v>
      </c>
    </row>
    <row r="254" spans="1:9" x14ac:dyDescent="0.25">
      <c r="A254" s="1" t="s">
        <v>1072</v>
      </c>
      <c r="B254" s="57">
        <v>43353</v>
      </c>
      <c r="C254" s="1" t="s">
        <v>816</v>
      </c>
      <c r="D254" s="1" t="s">
        <v>817</v>
      </c>
      <c r="E254" s="1" t="s">
        <v>818</v>
      </c>
      <c r="F254" s="1" t="s">
        <v>818</v>
      </c>
      <c r="G254" s="1" t="s">
        <v>819</v>
      </c>
      <c r="H254" s="1">
        <v>2934</v>
      </c>
      <c r="I254" s="1">
        <v>1819</v>
      </c>
    </row>
    <row r="255" spans="1:9" x14ac:dyDescent="0.25">
      <c r="A255" s="1" t="s">
        <v>1073</v>
      </c>
      <c r="B255" s="57">
        <v>43354</v>
      </c>
      <c r="C255" s="1" t="s">
        <v>821</v>
      </c>
      <c r="D255" s="1" t="s">
        <v>817</v>
      </c>
      <c r="E255" s="1" t="s">
        <v>818</v>
      </c>
      <c r="F255" s="1" t="s">
        <v>818</v>
      </c>
      <c r="G255" s="1" t="s">
        <v>819</v>
      </c>
      <c r="H255" s="1">
        <v>4354</v>
      </c>
      <c r="I255" s="1">
        <v>2787</v>
      </c>
    </row>
    <row r="256" spans="1:9" x14ac:dyDescent="0.25">
      <c r="A256" s="1" t="s">
        <v>1074</v>
      </c>
      <c r="B256" s="57">
        <v>43355</v>
      </c>
      <c r="C256" s="1" t="s">
        <v>823</v>
      </c>
      <c r="D256" s="1" t="s">
        <v>817</v>
      </c>
      <c r="E256" s="1" t="s">
        <v>818</v>
      </c>
      <c r="F256" s="1" t="s">
        <v>818</v>
      </c>
      <c r="G256" s="1" t="s">
        <v>819</v>
      </c>
      <c r="H256" s="1">
        <v>2102</v>
      </c>
      <c r="I256" s="1">
        <v>1534</v>
      </c>
    </row>
    <row r="257" spans="1:9" x14ac:dyDescent="0.25">
      <c r="A257" s="1" t="s">
        <v>1075</v>
      </c>
      <c r="B257" s="57">
        <v>43356</v>
      </c>
      <c r="C257" s="1" t="s">
        <v>825</v>
      </c>
      <c r="D257" s="1" t="s">
        <v>826</v>
      </c>
      <c r="E257" s="1" t="s">
        <v>827</v>
      </c>
      <c r="F257" s="1" t="s">
        <v>828</v>
      </c>
      <c r="G257" s="1" t="s">
        <v>819</v>
      </c>
      <c r="H257" s="1">
        <v>3261</v>
      </c>
      <c r="I257" s="1">
        <v>2446</v>
      </c>
    </row>
    <row r="258" spans="1:9" x14ac:dyDescent="0.25">
      <c r="A258" s="1" t="s">
        <v>1076</v>
      </c>
      <c r="B258" s="57">
        <v>43357</v>
      </c>
      <c r="C258" s="1" t="s">
        <v>830</v>
      </c>
      <c r="D258" s="1" t="s">
        <v>826</v>
      </c>
      <c r="E258" s="1" t="s">
        <v>827</v>
      </c>
      <c r="F258" s="1" t="s">
        <v>828</v>
      </c>
      <c r="G258" s="1" t="s">
        <v>819</v>
      </c>
      <c r="H258" s="1">
        <v>2577</v>
      </c>
      <c r="I258" s="1">
        <v>1907</v>
      </c>
    </row>
    <row r="259" spans="1:9" x14ac:dyDescent="0.25">
      <c r="A259" s="1" t="s">
        <v>1077</v>
      </c>
      <c r="B259" s="57">
        <v>43358</v>
      </c>
      <c r="C259" s="1" t="s">
        <v>832</v>
      </c>
      <c r="D259" s="1" t="s">
        <v>826</v>
      </c>
      <c r="E259" s="1" t="s">
        <v>827</v>
      </c>
      <c r="F259" s="1" t="s">
        <v>828</v>
      </c>
      <c r="G259" s="1" t="s">
        <v>819</v>
      </c>
      <c r="H259" s="1">
        <v>3131</v>
      </c>
      <c r="I259" s="1">
        <v>1973</v>
      </c>
    </row>
    <row r="260" spans="1:9" x14ac:dyDescent="0.25">
      <c r="A260" s="1" t="s">
        <v>1078</v>
      </c>
      <c r="B260" s="57">
        <v>43359</v>
      </c>
      <c r="C260" s="1" t="s">
        <v>834</v>
      </c>
      <c r="D260" s="1" t="s">
        <v>826</v>
      </c>
      <c r="E260" s="1" t="s">
        <v>827</v>
      </c>
      <c r="F260" s="1" t="s">
        <v>828</v>
      </c>
      <c r="G260" s="1" t="s">
        <v>819</v>
      </c>
      <c r="H260" s="1">
        <v>2683</v>
      </c>
      <c r="I260" s="1">
        <v>1798</v>
      </c>
    </row>
    <row r="261" spans="1:9" x14ac:dyDescent="0.25">
      <c r="A261" s="1" t="s">
        <v>1079</v>
      </c>
      <c r="B261" s="57">
        <v>43360</v>
      </c>
      <c r="C261" s="1" t="s">
        <v>836</v>
      </c>
      <c r="D261" s="1" t="s">
        <v>826</v>
      </c>
      <c r="E261" s="1" t="s">
        <v>827</v>
      </c>
      <c r="F261" s="1" t="s">
        <v>828</v>
      </c>
      <c r="G261" s="1" t="s">
        <v>819</v>
      </c>
      <c r="H261" s="1">
        <v>2613</v>
      </c>
      <c r="I261" s="1">
        <v>1751</v>
      </c>
    </row>
    <row r="262" spans="1:9" x14ac:dyDescent="0.25">
      <c r="A262" s="1" t="s">
        <v>1080</v>
      </c>
      <c r="B262" s="57">
        <v>43361</v>
      </c>
      <c r="C262" s="1" t="s">
        <v>838</v>
      </c>
      <c r="D262" s="1" t="s">
        <v>839</v>
      </c>
      <c r="E262" s="1" t="s">
        <v>840</v>
      </c>
      <c r="F262" s="1" t="s">
        <v>841</v>
      </c>
      <c r="G262" s="1" t="s">
        <v>85</v>
      </c>
      <c r="H262" s="1">
        <v>4076</v>
      </c>
      <c r="I262" s="1">
        <v>2609</v>
      </c>
    </row>
    <row r="263" spans="1:9" x14ac:dyDescent="0.25">
      <c r="A263" s="1" t="s">
        <v>1081</v>
      </c>
      <c r="B263" s="57">
        <v>43362</v>
      </c>
      <c r="C263" s="1" t="s">
        <v>843</v>
      </c>
      <c r="D263" s="1" t="s">
        <v>844</v>
      </c>
      <c r="E263" s="1" t="s">
        <v>845</v>
      </c>
      <c r="F263" s="1" t="s">
        <v>846</v>
      </c>
      <c r="G263" s="1" t="s">
        <v>124</v>
      </c>
      <c r="H263" s="1">
        <v>4400</v>
      </c>
      <c r="I263" s="1">
        <v>3432</v>
      </c>
    </row>
    <row r="264" spans="1:9" x14ac:dyDescent="0.25">
      <c r="A264" s="1" t="s">
        <v>1082</v>
      </c>
      <c r="B264" s="57">
        <v>43363</v>
      </c>
      <c r="C264" s="1" t="s">
        <v>848</v>
      </c>
      <c r="D264" s="1" t="s">
        <v>839</v>
      </c>
      <c r="E264" s="1" t="s">
        <v>849</v>
      </c>
      <c r="F264" s="1" t="s">
        <v>850</v>
      </c>
      <c r="G264" s="1" t="s">
        <v>85</v>
      </c>
      <c r="H264" s="1">
        <v>2466</v>
      </c>
      <c r="I264" s="1">
        <v>1603</v>
      </c>
    </row>
    <row r="265" spans="1:9" x14ac:dyDescent="0.25">
      <c r="A265" s="1" t="s">
        <v>1083</v>
      </c>
      <c r="B265" s="57">
        <v>43364</v>
      </c>
      <c r="C265" s="1" t="s">
        <v>852</v>
      </c>
      <c r="D265" s="1" t="s">
        <v>853</v>
      </c>
      <c r="E265" s="1" t="s">
        <v>854</v>
      </c>
      <c r="F265" s="1" t="s">
        <v>232</v>
      </c>
      <c r="G265" s="1" t="s">
        <v>124</v>
      </c>
      <c r="H265" s="1">
        <v>2137</v>
      </c>
      <c r="I265" s="1">
        <v>1325</v>
      </c>
    </row>
    <row r="266" spans="1:9" x14ac:dyDescent="0.25">
      <c r="A266" s="1" t="s">
        <v>1084</v>
      </c>
      <c r="B266" s="57">
        <v>43365</v>
      </c>
      <c r="C266" s="1" t="s">
        <v>856</v>
      </c>
      <c r="D266" s="1" t="s">
        <v>853</v>
      </c>
      <c r="E266" s="1" t="s">
        <v>857</v>
      </c>
      <c r="F266" s="1" t="s">
        <v>858</v>
      </c>
      <c r="G266" s="1" t="s">
        <v>124</v>
      </c>
      <c r="H266" s="1">
        <v>4216</v>
      </c>
      <c r="I266" s="1">
        <v>3162</v>
      </c>
    </row>
    <row r="267" spans="1:9" x14ac:dyDescent="0.25">
      <c r="A267" s="1" t="s">
        <v>1085</v>
      </c>
      <c r="B267" s="57">
        <v>43366</v>
      </c>
      <c r="C267" s="1" t="s">
        <v>860</v>
      </c>
      <c r="D267" s="1" t="s">
        <v>853</v>
      </c>
      <c r="E267" s="1" t="s">
        <v>857</v>
      </c>
      <c r="F267" s="1" t="s">
        <v>858</v>
      </c>
      <c r="G267" s="1" t="s">
        <v>124</v>
      </c>
      <c r="H267" s="1">
        <v>3165</v>
      </c>
      <c r="I267" s="1">
        <v>2310</v>
      </c>
    </row>
    <row r="268" spans="1:9" x14ac:dyDescent="0.25">
      <c r="A268" s="1" t="s">
        <v>1086</v>
      </c>
      <c r="B268" s="57">
        <v>43367</v>
      </c>
      <c r="C268" s="1" t="s">
        <v>862</v>
      </c>
      <c r="D268" s="1" t="s">
        <v>863</v>
      </c>
      <c r="E268" s="1" t="s">
        <v>864</v>
      </c>
      <c r="F268" s="1" t="s">
        <v>865</v>
      </c>
      <c r="G268" s="1" t="s">
        <v>819</v>
      </c>
      <c r="H268" s="1">
        <v>3263</v>
      </c>
      <c r="I268" s="1">
        <v>2545</v>
      </c>
    </row>
    <row r="269" spans="1:9" x14ac:dyDescent="0.25">
      <c r="A269" s="1" t="s">
        <v>1087</v>
      </c>
      <c r="B269" s="57">
        <v>43368</v>
      </c>
      <c r="C269" s="1" t="s">
        <v>867</v>
      </c>
      <c r="D269" s="1" t="s">
        <v>826</v>
      </c>
      <c r="E269" s="1" t="s">
        <v>868</v>
      </c>
      <c r="F269" s="1" t="s">
        <v>869</v>
      </c>
      <c r="G269" s="1" t="s">
        <v>819</v>
      </c>
      <c r="H269" s="1">
        <v>2946</v>
      </c>
      <c r="I269" s="1">
        <v>2210</v>
      </c>
    </row>
    <row r="270" spans="1:9" x14ac:dyDescent="0.25">
      <c r="A270" s="1" t="s">
        <v>1088</v>
      </c>
      <c r="B270" s="57">
        <v>43369</v>
      </c>
      <c r="C270" s="1" t="s">
        <v>871</v>
      </c>
      <c r="D270" s="1" t="s">
        <v>872</v>
      </c>
      <c r="E270" s="1" t="s">
        <v>873</v>
      </c>
      <c r="F270" s="1" t="s">
        <v>874</v>
      </c>
      <c r="G270" s="1" t="s">
        <v>819</v>
      </c>
      <c r="H270" s="1">
        <v>2989</v>
      </c>
      <c r="I270" s="1">
        <v>2212</v>
      </c>
    </row>
    <row r="271" spans="1:9" x14ac:dyDescent="0.25">
      <c r="A271" s="1" t="s">
        <v>1089</v>
      </c>
      <c r="B271" s="57">
        <v>43370</v>
      </c>
      <c r="C271" s="1" t="s">
        <v>876</v>
      </c>
      <c r="D271" s="1" t="s">
        <v>872</v>
      </c>
      <c r="E271" s="1" t="s">
        <v>873</v>
      </c>
      <c r="F271" s="1" t="s">
        <v>874</v>
      </c>
      <c r="G271" s="1" t="s">
        <v>819</v>
      </c>
      <c r="H271" s="1">
        <v>3463</v>
      </c>
      <c r="I271" s="1">
        <v>2770</v>
      </c>
    </row>
    <row r="272" spans="1:9" x14ac:dyDescent="0.25">
      <c r="A272" s="1" t="s">
        <v>1090</v>
      </c>
      <c r="B272" s="57">
        <v>43371</v>
      </c>
      <c r="C272" s="1" t="s">
        <v>878</v>
      </c>
      <c r="D272" s="1" t="s">
        <v>853</v>
      </c>
      <c r="E272" s="1" t="s">
        <v>854</v>
      </c>
      <c r="F272" s="1" t="s">
        <v>224</v>
      </c>
      <c r="G272" s="1" t="s">
        <v>124</v>
      </c>
      <c r="H272" s="1">
        <v>2677</v>
      </c>
      <c r="I272" s="1">
        <v>2088</v>
      </c>
    </row>
    <row r="273" spans="1:9" x14ac:dyDescent="0.25">
      <c r="A273" s="1" t="s">
        <v>1091</v>
      </c>
      <c r="B273" s="57">
        <v>43372</v>
      </c>
      <c r="C273" s="1" t="s">
        <v>880</v>
      </c>
      <c r="D273" s="1" t="s">
        <v>853</v>
      </c>
      <c r="E273" s="1" t="s">
        <v>854</v>
      </c>
      <c r="F273" s="1" t="s">
        <v>224</v>
      </c>
      <c r="G273" s="1" t="s">
        <v>124</v>
      </c>
      <c r="H273" s="1">
        <v>2966</v>
      </c>
      <c r="I273" s="1">
        <v>1928</v>
      </c>
    </row>
    <row r="274" spans="1:9" x14ac:dyDescent="0.25">
      <c r="A274" s="1" t="s">
        <v>1092</v>
      </c>
      <c r="B274" s="57">
        <v>43373</v>
      </c>
      <c r="C274" s="1" t="s">
        <v>882</v>
      </c>
      <c r="D274" s="1" t="s">
        <v>853</v>
      </c>
      <c r="E274" s="1" t="s">
        <v>854</v>
      </c>
      <c r="F274" s="1" t="s">
        <v>224</v>
      </c>
      <c r="G274" s="1" t="s">
        <v>124</v>
      </c>
      <c r="H274" s="1">
        <v>2106</v>
      </c>
      <c r="I274" s="1">
        <v>1516</v>
      </c>
    </row>
    <row r="275" spans="1:9" x14ac:dyDescent="0.25">
      <c r="A275" s="1" t="s">
        <v>1093</v>
      </c>
      <c r="B275" s="57">
        <v>43374</v>
      </c>
      <c r="C275" s="1" t="s">
        <v>816</v>
      </c>
      <c r="D275" s="1" t="s">
        <v>817</v>
      </c>
      <c r="E275" s="1" t="s">
        <v>818</v>
      </c>
      <c r="F275" s="1" t="s">
        <v>818</v>
      </c>
      <c r="G275" s="1" t="s">
        <v>819</v>
      </c>
      <c r="H275" s="1">
        <v>3664</v>
      </c>
      <c r="I275" s="1">
        <v>2272</v>
      </c>
    </row>
    <row r="276" spans="1:9" x14ac:dyDescent="0.25">
      <c r="A276" s="1" t="s">
        <v>1094</v>
      </c>
      <c r="B276" s="57">
        <v>43375</v>
      </c>
      <c r="C276" s="1" t="s">
        <v>821</v>
      </c>
      <c r="D276" s="1" t="s">
        <v>817</v>
      </c>
      <c r="E276" s="1" t="s">
        <v>818</v>
      </c>
      <c r="F276" s="1" t="s">
        <v>818</v>
      </c>
      <c r="G276" s="1" t="s">
        <v>819</v>
      </c>
      <c r="H276" s="1">
        <v>3069</v>
      </c>
      <c r="I276" s="1">
        <v>2240</v>
      </c>
    </row>
    <row r="277" spans="1:9" x14ac:dyDescent="0.25">
      <c r="A277" s="1" t="s">
        <v>1095</v>
      </c>
      <c r="B277" s="57">
        <v>43376</v>
      </c>
      <c r="C277" s="1" t="s">
        <v>823</v>
      </c>
      <c r="D277" s="1" t="s">
        <v>817</v>
      </c>
      <c r="E277" s="1" t="s">
        <v>818</v>
      </c>
      <c r="F277" s="1" t="s">
        <v>818</v>
      </c>
      <c r="G277" s="1" t="s">
        <v>819</v>
      </c>
      <c r="H277" s="1">
        <v>3755</v>
      </c>
      <c r="I277" s="1">
        <v>2516</v>
      </c>
    </row>
    <row r="278" spans="1:9" x14ac:dyDescent="0.25">
      <c r="A278" s="1" t="s">
        <v>1096</v>
      </c>
      <c r="B278" s="57">
        <v>43377</v>
      </c>
      <c r="C278" s="1" t="s">
        <v>825</v>
      </c>
      <c r="D278" s="1" t="s">
        <v>826</v>
      </c>
      <c r="E278" s="1" t="s">
        <v>827</v>
      </c>
      <c r="F278" s="1" t="s">
        <v>828</v>
      </c>
      <c r="G278" s="1" t="s">
        <v>819</v>
      </c>
      <c r="H278" s="1">
        <v>3215</v>
      </c>
      <c r="I278" s="1">
        <v>2058</v>
      </c>
    </row>
    <row r="279" spans="1:9" x14ac:dyDescent="0.25">
      <c r="A279" s="1" t="s">
        <v>1097</v>
      </c>
      <c r="B279" s="57">
        <v>43378</v>
      </c>
      <c r="C279" s="1" t="s">
        <v>830</v>
      </c>
      <c r="D279" s="1" t="s">
        <v>826</v>
      </c>
      <c r="E279" s="1" t="s">
        <v>827</v>
      </c>
      <c r="F279" s="1" t="s">
        <v>828</v>
      </c>
      <c r="G279" s="1" t="s">
        <v>819</v>
      </c>
      <c r="H279" s="1">
        <v>3685</v>
      </c>
      <c r="I279" s="1">
        <v>2543</v>
      </c>
    </row>
    <row r="280" spans="1:9" x14ac:dyDescent="0.25">
      <c r="A280" s="1" t="s">
        <v>1098</v>
      </c>
      <c r="B280" s="57">
        <v>43379</v>
      </c>
      <c r="C280" s="1" t="s">
        <v>832</v>
      </c>
      <c r="D280" s="1" t="s">
        <v>826</v>
      </c>
      <c r="E280" s="1" t="s">
        <v>827</v>
      </c>
      <c r="F280" s="1" t="s">
        <v>828</v>
      </c>
      <c r="G280" s="1" t="s">
        <v>819</v>
      </c>
      <c r="H280" s="1">
        <v>4015</v>
      </c>
      <c r="I280" s="1">
        <v>2730</v>
      </c>
    </row>
    <row r="281" spans="1:9" x14ac:dyDescent="0.25">
      <c r="A281" s="1" t="s">
        <v>1099</v>
      </c>
      <c r="B281" s="57">
        <v>43380</v>
      </c>
      <c r="C281" s="1" t="s">
        <v>834</v>
      </c>
      <c r="D281" s="1" t="s">
        <v>826</v>
      </c>
      <c r="E281" s="1" t="s">
        <v>827</v>
      </c>
      <c r="F281" s="1" t="s">
        <v>828</v>
      </c>
      <c r="G281" s="1" t="s">
        <v>819</v>
      </c>
      <c r="H281" s="1">
        <v>2517</v>
      </c>
      <c r="I281" s="1">
        <v>1661</v>
      </c>
    </row>
    <row r="282" spans="1:9" x14ac:dyDescent="0.25">
      <c r="A282" s="1" t="s">
        <v>1100</v>
      </c>
      <c r="B282" s="57">
        <v>43381</v>
      </c>
      <c r="C282" s="1" t="s">
        <v>836</v>
      </c>
      <c r="D282" s="1" t="s">
        <v>826</v>
      </c>
      <c r="E282" s="1" t="s">
        <v>827</v>
      </c>
      <c r="F282" s="1" t="s">
        <v>828</v>
      </c>
      <c r="G282" s="1" t="s">
        <v>819</v>
      </c>
      <c r="H282" s="1">
        <v>2598</v>
      </c>
      <c r="I282" s="1">
        <v>1793</v>
      </c>
    </row>
    <row r="283" spans="1:9" x14ac:dyDescent="0.25">
      <c r="A283" s="1" t="s">
        <v>1101</v>
      </c>
      <c r="B283" s="57">
        <v>43382</v>
      </c>
      <c r="C283" s="1" t="s">
        <v>838</v>
      </c>
      <c r="D283" s="1" t="s">
        <v>839</v>
      </c>
      <c r="E283" s="1" t="s">
        <v>840</v>
      </c>
      <c r="F283" s="1" t="s">
        <v>841</v>
      </c>
      <c r="G283" s="1" t="s">
        <v>85</v>
      </c>
      <c r="H283" s="1">
        <v>3513</v>
      </c>
      <c r="I283" s="1">
        <v>2740</v>
      </c>
    </row>
    <row r="284" spans="1:9" x14ac:dyDescent="0.25">
      <c r="A284" s="1" t="s">
        <v>1102</v>
      </c>
      <c r="B284" s="57">
        <v>43383</v>
      </c>
      <c r="C284" s="1" t="s">
        <v>843</v>
      </c>
      <c r="D284" s="1" t="s">
        <v>844</v>
      </c>
      <c r="E284" s="1" t="s">
        <v>845</v>
      </c>
      <c r="F284" s="1" t="s">
        <v>846</v>
      </c>
      <c r="G284" s="1" t="s">
        <v>124</v>
      </c>
      <c r="H284" s="1">
        <v>2247</v>
      </c>
      <c r="I284" s="1">
        <v>1775</v>
      </c>
    </row>
    <row r="285" spans="1:9" x14ac:dyDescent="0.25">
      <c r="A285" s="1" t="s">
        <v>1103</v>
      </c>
      <c r="B285" s="57">
        <v>43384</v>
      </c>
      <c r="C285" s="1" t="s">
        <v>848</v>
      </c>
      <c r="D285" s="1" t="s">
        <v>839</v>
      </c>
      <c r="E285" s="1" t="s">
        <v>849</v>
      </c>
      <c r="F285" s="1" t="s">
        <v>850</v>
      </c>
      <c r="G285" s="1" t="s">
        <v>85</v>
      </c>
      <c r="H285" s="1">
        <v>2878</v>
      </c>
      <c r="I285" s="1">
        <v>1784</v>
      </c>
    </row>
    <row r="286" spans="1:9" x14ac:dyDescent="0.25">
      <c r="A286" s="1" t="s">
        <v>1104</v>
      </c>
      <c r="B286" s="57">
        <v>43385</v>
      </c>
      <c r="C286" s="1" t="s">
        <v>852</v>
      </c>
      <c r="D286" s="1" t="s">
        <v>853</v>
      </c>
      <c r="E286" s="1" t="s">
        <v>854</v>
      </c>
      <c r="F286" s="1" t="s">
        <v>232</v>
      </c>
      <c r="G286" s="1" t="s">
        <v>124</v>
      </c>
      <c r="H286" s="1">
        <v>3425</v>
      </c>
      <c r="I286" s="1">
        <v>2706</v>
      </c>
    </row>
    <row r="287" spans="1:9" x14ac:dyDescent="0.25">
      <c r="A287" s="1" t="s">
        <v>1105</v>
      </c>
      <c r="B287" s="57">
        <v>43386</v>
      </c>
      <c r="C287" s="1" t="s">
        <v>856</v>
      </c>
      <c r="D287" s="1" t="s">
        <v>853</v>
      </c>
      <c r="E287" s="1" t="s">
        <v>857</v>
      </c>
      <c r="F287" s="1" t="s">
        <v>858</v>
      </c>
      <c r="G287" s="1" t="s">
        <v>124</v>
      </c>
      <c r="H287" s="1">
        <v>2865</v>
      </c>
      <c r="I287" s="1">
        <v>2091</v>
      </c>
    </row>
    <row r="288" spans="1:9" x14ac:dyDescent="0.25">
      <c r="A288" s="1" t="s">
        <v>1106</v>
      </c>
      <c r="B288" s="57">
        <v>43387</v>
      </c>
      <c r="C288" s="1" t="s">
        <v>860</v>
      </c>
      <c r="D288" s="1" t="s">
        <v>853</v>
      </c>
      <c r="E288" s="1" t="s">
        <v>857</v>
      </c>
      <c r="F288" s="1" t="s">
        <v>858</v>
      </c>
      <c r="G288" s="1" t="s">
        <v>124</v>
      </c>
      <c r="H288" s="1">
        <v>2393</v>
      </c>
      <c r="I288" s="1">
        <v>1723</v>
      </c>
    </row>
    <row r="289" spans="1:9" x14ac:dyDescent="0.25">
      <c r="A289" s="1" t="s">
        <v>1107</v>
      </c>
      <c r="B289" s="57">
        <v>43388</v>
      </c>
      <c r="C289" s="1" t="s">
        <v>862</v>
      </c>
      <c r="D289" s="1" t="s">
        <v>863</v>
      </c>
      <c r="E289" s="1" t="s">
        <v>864</v>
      </c>
      <c r="F289" s="1" t="s">
        <v>865</v>
      </c>
      <c r="G289" s="1" t="s">
        <v>819</v>
      </c>
      <c r="H289" s="1">
        <v>3149</v>
      </c>
      <c r="I289" s="1">
        <v>2299</v>
      </c>
    </row>
    <row r="290" spans="1:9" x14ac:dyDescent="0.25">
      <c r="A290" s="1" t="s">
        <v>1108</v>
      </c>
      <c r="B290" s="57">
        <v>43389</v>
      </c>
      <c r="C290" s="1" t="s">
        <v>867</v>
      </c>
      <c r="D290" s="1" t="s">
        <v>826</v>
      </c>
      <c r="E290" s="1" t="s">
        <v>868</v>
      </c>
      <c r="F290" s="1" t="s">
        <v>869</v>
      </c>
      <c r="G290" s="1" t="s">
        <v>819</v>
      </c>
      <c r="H290" s="1">
        <v>3277</v>
      </c>
      <c r="I290" s="1">
        <v>2130</v>
      </c>
    </row>
    <row r="291" spans="1:9" x14ac:dyDescent="0.25">
      <c r="A291" s="1" t="s">
        <v>1109</v>
      </c>
      <c r="B291" s="57">
        <v>43390</v>
      </c>
      <c r="C291" s="1" t="s">
        <v>871</v>
      </c>
      <c r="D291" s="1" t="s">
        <v>872</v>
      </c>
      <c r="E291" s="1" t="s">
        <v>873</v>
      </c>
      <c r="F291" s="1" t="s">
        <v>874</v>
      </c>
      <c r="G291" s="1" t="s">
        <v>819</v>
      </c>
      <c r="H291" s="1">
        <v>2713</v>
      </c>
      <c r="I291" s="1">
        <v>1682</v>
      </c>
    </row>
    <row r="292" spans="1:9" x14ac:dyDescent="0.25">
      <c r="A292" s="1" t="s">
        <v>1110</v>
      </c>
      <c r="B292" s="57">
        <v>43391</v>
      </c>
      <c r="C292" s="1" t="s">
        <v>876</v>
      </c>
      <c r="D292" s="1" t="s">
        <v>872</v>
      </c>
      <c r="E292" s="1" t="s">
        <v>873</v>
      </c>
      <c r="F292" s="1" t="s">
        <v>874</v>
      </c>
      <c r="G292" s="1" t="s">
        <v>819</v>
      </c>
      <c r="H292" s="1">
        <v>3381</v>
      </c>
      <c r="I292" s="1">
        <v>2231</v>
      </c>
    </row>
    <row r="293" spans="1:9" x14ac:dyDescent="0.25">
      <c r="A293" s="1" t="s">
        <v>1111</v>
      </c>
      <c r="B293" s="57">
        <v>43392</v>
      </c>
      <c r="C293" s="1" t="s">
        <v>878</v>
      </c>
      <c r="D293" s="1" t="s">
        <v>853</v>
      </c>
      <c r="E293" s="1" t="s">
        <v>854</v>
      </c>
      <c r="F293" s="1" t="s">
        <v>224</v>
      </c>
      <c r="G293" s="1" t="s">
        <v>124</v>
      </c>
      <c r="H293" s="1">
        <v>2545</v>
      </c>
      <c r="I293" s="1">
        <v>2011</v>
      </c>
    </row>
    <row r="294" spans="1:9" x14ac:dyDescent="0.25">
      <c r="A294" s="1" t="s">
        <v>1112</v>
      </c>
      <c r="B294" s="57">
        <v>43393</v>
      </c>
      <c r="C294" s="1" t="s">
        <v>880</v>
      </c>
      <c r="D294" s="1" t="s">
        <v>853</v>
      </c>
      <c r="E294" s="1" t="s">
        <v>854</v>
      </c>
      <c r="F294" s="1" t="s">
        <v>224</v>
      </c>
      <c r="G294" s="1" t="s">
        <v>124</v>
      </c>
      <c r="H294" s="1">
        <v>4473</v>
      </c>
      <c r="I294" s="1">
        <v>2729</v>
      </c>
    </row>
    <row r="295" spans="1:9" x14ac:dyDescent="0.25">
      <c r="A295" s="1" t="s">
        <v>1113</v>
      </c>
      <c r="B295" s="57">
        <v>43394</v>
      </c>
      <c r="C295" s="1" t="s">
        <v>882</v>
      </c>
      <c r="D295" s="1" t="s">
        <v>853</v>
      </c>
      <c r="E295" s="1" t="s">
        <v>854</v>
      </c>
      <c r="F295" s="1" t="s">
        <v>224</v>
      </c>
      <c r="G295" s="1" t="s">
        <v>124</v>
      </c>
      <c r="H295" s="1">
        <v>3332</v>
      </c>
      <c r="I295" s="1">
        <v>2132</v>
      </c>
    </row>
    <row r="296" spans="1:9" x14ac:dyDescent="0.25">
      <c r="A296" s="1" t="s">
        <v>1114</v>
      </c>
      <c r="B296" s="57">
        <v>43395</v>
      </c>
      <c r="C296" s="1" t="s">
        <v>816</v>
      </c>
      <c r="D296" s="1" t="s">
        <v>817</v>
      </c>
      <c r="E296" s="1" t="s">
        <v>818</v>
      </c>
      <c r="F296" s="1" t="s">
        <v>818</v>
      </c>
      <c r="G296" s="1" t="s">
        <v>819</v>
      </c>
      <c r="H296" s="1">
        <v>2283</v>
      </c>
      <c r="I296" s="1">
        <v>1438</v>
      </c>
    </row>
    <row r="297" spans="1:9" x14ac:dyDescent="0.25">
      <c r="A297" s="1" t="s">
        <v>1115</v>
      </c>
      <c r="B297" s="57">
        <v>43396</v>
      </c>
      <c r="C297" s="1" t="s">
        <v>821</v>
      </c>
      <c r="D297" s="1" t="s">
        <v>817</v>
      </c>
      <c r="E297" s="1" t="s">
        <v>818</v>
      </c>
      <c r="F297" s="1" t="s">
        <v>818</v>
      </c>
      <c r="G297" s="1" t="s">
        <v>819</v>
      </c>
      <c r="H297" s="1">
        <v>2696</v>
      </c>
      <c r="I297" s="1">
        <v>1833</v>
      </c>
    </row>
    <row r="298" spans="1:9" x14ac:dyDescent="0.25">
      <c r="A298" s="1" t="s">
        <v>1116</v>
      </c>
      <c r="B298" s="57">
        <v>43397</v>
      </c>
      <c r="C298" s="1" t="s">
        <v>823</v>
      </c>
      <c r="D298" s="1" t="s">
        <v>817</v>
      </c>
      <c r="E298" s="1" t="s">
        <v>818</v>
      </c>
      <c r="F298" s="1" t="s">
        <v>818</v>
      </c>
      <c r="G298" s="1" t="s">
        <v>819</v>
      </c>
      <c r="H298" s="1">
        <v>4061</v>
      </c>
      <c r="I298" s="1">
        <v>3127</v>
      </c>
    </row>
    <row r="299" spans="1:9" x14ac:dyDescent="0.25">
      <c r="A299" s="1" t="s">
        <v>1117</v>
      </c>
      <c r="B299" s="57">
        <v>43398</v>
      </c>
      <c r="C299" s="1" t="s">
        <v>825</v>
      </c>
      <c r="D299" s="1" t="s">
        <v>826</v>
      </c>
      <c r="E299" s="1" t="s">
        <v>827</v>
      </c>
      <c r="F299" s="1" t="s">
        <v>828</v>
      </c>
      <c r="G299" s="1" t="s">
        <v>819</v>
      </c>
      <c r="H299" s="1">
        <v>2382</v>
      </c>
      <c r="I299" s="1">
        <v>1548</v>
      </c>
    </row>
    <row r="300" spans="1:9" x14ac:dyDescent="0.25">
      <c r="A300" s="1" t="s">
        <v>1118</v>
      </c>
      <c r="B300" s="57">
        <v>43399</v>
      </c>
      <c r="C300" s="1" t="s">
        <v>830</v>
      </c>
      <c r="D300" s="1" t="s">
        <v>826</v>
      </c>
      <c r="E300" s="1" t="s">
        <v>827</v>
      </c>
      <c r="F300" s="1" t="s">
        <v>828</v>
      </c>
      <c r="G300" s="1" t="s">
        <v>819</v>
      </c>
      <c r="H300" s="1">
        <v>4336</v>
      </c>
      <c r="I300" s="1">
        <v>2602</v>
      </c>
    </row>
    <row r="301" spans="1:9" x14ac:dyDescent="0.25">
      <c r="A301" s="1" t="s">
        <v>1119</v>
      </c>
      <c r="B301" s="57">
        <v>43400</v>
      </c>
      <c r="C301" s="1" t="s">
        <v>832</v>
      </c>
      <c r="D301" s="1" t="s">
        <v>826</v>
      </c>
      <c r="E301" s="1" t="s">
        <v>827</v>
      </c>
      <c r="F301" s="1" t="s">
        <v>828</v>
      </c>
      <c r="G301" s="1" t="s">
        <v>819</v>
      </c>
      <c r="H301" s="1">
        <v>2602</v>
      </c>
      <c r="I301" s="1">
        <v>2004</v>
      </c>
    </row>
    <row r="302" spans="1:9" x14ac:dyDescent="0.25">
      <c r="A302" s="1" t="s">
        <v>1120</v>
      </c>
      <c r="B302" s="57">
        <v>43401</v>
      </c>
      <c r="C302" s="1" t="s">
        <v>834</v>
      </c>
      <c r="D302" s="1" t="s">
        <v>826</v>
      </c>
      <c r="E302" s="1" t="s">
        <v>827</v>
      </c>
      <c r="F302" s="1" t="s">
        <v>828</v>
      </c>
      <c r="G302" s="1" t="s">
        <v>819</v>
      </c>
      <c r="H302" s="1">
        <v>3094</v>
      </c>
      <c r="I302" s="1">
        <v>2073</v>
      </c>
    </row>
    <row r="303" spans="1:9" x14ac:dyDescent="0.25">
      <c r="A303" s="1" t="s">
        <v>1121</v>
      </c>
      <c r="B303" s="57">
        <v>43402</v>
      </c>
      <c r="C303" s="1" t="s">
        <v>836</v>
      </c>
      <c r="D303" s="1" t="s">
        <v>826</v>
      </c>
      <c r="E303" s="1" t="s">
        <v>827</v>
      </c>
      <c r="F303" s="1" t="s">
        <v>828</v>
      </c>
      <c r="G303" s="1" t="s">
        <v>819</v>
      </c>
      <c r="H303" s="1">
        <v>3510</v>
      </c>
      <c r="I303" s="1">
        <v>2141</v>
      </c>
    </row>
    <row r="304" spans="1:9" x14ac:dyDescent="0.25">
      <c r="A304" s="1" t="s">
        <v>1122</v>
      </c>
      <c r="B304" s="57">
        <v>43403</v>
      </c>
      <c r="C304" s="1" t="s">
        <v>838</v>
      </c>
      <c r="D304" s="1" t="s">
        <v>839</v>
      </c>
      <c r="E304" s="1" t="s">
        <v>840</v>
      </c>
      <c r="F304" s="1" t="s">
        <v>841</v>
      </c>
      <c r="G304" s="1" t="s">
        <v>85</v>
      </c>
      <c r="H304" s="1">
        <v>2134</v>
      </c>
      <c r="I304" s="1">
        <v>1536</v>
      </c>
    </row>
    <row r="305" spans="1:9" x14ac:dyDescent="0.25">
      <c r="A305" s="1" t="s">
        <v>1123</v>
      </c>
      <c r="B305" s="57">
        <v>43404</v>
      </c>
      <c r="C305" s="1" t="s">
        <v>843</v>
      </c>
      <c r="D305" s="1" t="s">
        <v>844</v>
      </c>
      <c r="E305" s="1" t="s">
        <v>845</v>
      </c>
      <c r="F305" s="1" t="s">
        <v>846</v>
      </c>
      <c r="G305" s="1" t="s">
        <v>124</v>
      </c>
      <c r="H305" s="1">
        <v>2661</v>
      </c>
      <c r="I305" s="1">
        <v>2022</v>
      </c>
    </row>
    <row r="306" spans="1:9" x14ac:dyDescent="0.25">
      <c r="A306" s="1" t="s">
        <v>1124</v>
      </c>
      <c r="B306" s="57">
        <v>43405</v>
      </c>
      <c r="C306" s="1" t="s">
        <v>848</v>
      </c>
      <c r="D306" s="1" t="s">
        <v>839</v>
      </c>
      <c r="E306" s="1" t="s">
        <v>849</v>
      </c>
      <c r="F306" s="1" t="s">
        <v>850</v>
      </c>
      <c r="G306" s="1" t="s">
        <v>85</v>
      </c>
      <c r="H306" s="1">
        <v>2901</v>
      </c>
      <c r="I306" s="1">
        <v>1741</v>
      </c>
    </row>
    <row r="307" spans="1:9" x14ac:dyDescent="0.25">
      <c r="A307" s="1" t="s">
        <v>1125</v>
      </c>
      <c r="B307" s="57">
        <v>43406</v>
      </c>
      <c r="C307" s="1" t="s">
        <v>852</v>
      </c>
      <c r="D307" s="1" t="s">
        <v>853</v>
      </c>
      <c r="E307" s="1" t="s">
        <v>854</v>
      </c>
      <c r="F307" s="1" t="s">
        <v>232</v>
      </c>
      <c r="G307" s="1" t="s">
        <v>124</v>
      </c>
      <c r="H307" s="1">
        <v>3784</v>
      </c>
      <c r="I307" s="1">
        <v>2384</v>
      </c>
    </row>
    <row r="308" spans="1:9" x14ac:dyDescent="0.25">
      <c r="A308" s="1" t="s">
        <v>1126</v>
      </c>
      <c r="B308" s="57">
        <v>43407</v>
      </c>
      <c r="C308" s="1" t="s">
        <v>856</v>
      </c>
      <c r="D308" s="1" t="s">
        <v>853</v>
      </c>
      <c r="E308" s="1" t="s">
        <v>857</v>
      </c>
      <c r="F308" s="1" t="s">
        <v>858</v>
      </c>
      <c r="G308" s="1" t="s">
        <v>124</v>
      </c>
      <c r="H308" s="1">
        <v>3135</v>
      </c>
      <c r="I308" s="1">
        <v>2445</v>
      </c>
    </row>
    <row r="309" spans="1:9" x14ac:dyDescent="0.25">
      <c r="A309" s="1" t="s">
        <v>1127</v>
      </c>
      <c r="B309" s="57">
        <v>43408</v>
      </c>
      <c r="C309" s="1" t="s">
        <v>860</v>
      </c>
      <c r="D309" s="1" t="s">
        <v>853</v>
      </c>
      <c r="E309" s="1" t="s">
        <v>857</v>
      </c>
      <c r="F309" s="1" t="s">
        <v>858</v>
      </c>
      <c r="G309" s="1" t="s">
        <v>124</v>
      </c>
      <c r="H309" s="1">
        <v>2802</v>
      </c>
      <c r="I309" s="1">
        <v>1877</v>
      </c>
    </row>
    <row r="310" spans="1:9" x14ac:dyDescent="0.25">
      <c r="A310" s="1" t="s">
        <v>1128</v>
      </c>
      <c r="B310" s="57">
        <v>43409</v>
      </c>
      <c r="C310" s="1" t="s">
        <v>862</v>
      </c>
      <c r="D310" s="1" t="s">
        <v>863</v>
      </c>
      <c r="E310" s="1" t="s">
        <v>864</v>
      </c>
      <c r="F310" s="1" t="s">
        <v>865</v>
      </c>
      <c r="G310" s="1" t="s">
        <v>819</v>
      </c>
      <c r="H310" s="1">
        <v>3486</v>
      </c>
      <c r="I310" s="1">
        <v>2789</v>
      </c>
    </row>
    <row r="311" spans="1:9" x14ac:dyDescent="0.25">
      <c r="A311" s="1" t="s">
        <v>1129</v>
      </c>
      <c r="B311" s="57">
        <v>43410</v>
      </c>
      <c r="C311" s="1" t="s">
        <v>867</v>
      </c>
      <c r="D311" s="1" t="s">
        <v>826</v>
      </c>
      <c r="E311" s="1" t="s">
        <v>868</v>
      </c>
      <c r="F311" s="1" t="s">
        <v>869</v>
      </c>
      <c r="G311" s="1" t="s">
        <v>819</v>
      </c>
      <c r="H311" s="1">
        <v>3422</v>
      </c>
      <c r="I311" s="1">
        <v>2122</v>
      </c>
    </row>
    <row r="312" spans="1:9" x14ac:dyDescent="0.25">
      <c r="A312" s="1" t="s">
        <v>1130</v>
      </c>
      <c r="B312" s="57">
        <v>43411</v>
      </c>
      <c r="C312" s="1" t="s">
        <v>871</v>
      </c>
      <c r="D312" s="1" t="s">
        <v>872</v>
      </c>
      <c r="E312" s="1" t="s">
        <v>873</v>
      </c>
      <c r="F312" s="1" t="s">
        <v>874</v>
      </c>
      <c r="G312" s="1" t="s">
        <v>819</v>
      </c>
      <c r="H312" s="1">
        <v>2842</v>
      </c>
      <c r="I312" s="1">
        <v>2188</v>
      </c>
    </row>
    <row r="313" spans="1:9" x14ac:dyDescent="0.25">
      <c r="A313" s="1" t="s">
        <v>1131</v>
      </c>
      <c r="B313" s="57">
        <v>43412</v>
      </c>
      <c r="C313" s="1" t="s">
        <v>876</v>
      </c>
      <c r="D313" s="1" t="s">
        <v>872</v>
      </c>
      <c r="E313" s="1" t="s">
        <v>873</v>
      </c>
      <c r="F313" s="1" t="s">
        <v>874</v>
      </c>
      <c r="G313" s="1" t="s">
        <v>819</v>
      </c>
      <c r="H313" s="1">
        <v>3846</v>
      </c>
      <c r="I313" s="1">
        <v>2500</v>
      </c>
    </row>
    <row r="314" spans="1:9" x14ac:dyDescent="0.25">
      <c r="A314" s="1" t="s">
        <v>1132</v>
      </c>
      <c r="B314" s="57">
        <v>43413</v>
      </c>
      <c r="C314" s="1" t="s">
        <v>878</v>
      </c>
      <c r="D314" s="1" t="s">
        <v>853</v>
      </c>
      <c r="E314" s="1" t="s">
        <v>854</v>
      </c>
      <c r="F314" s="1" t="s">
        <v>224</v>
      </c>
      <c r="G314" s="1" t="s">
        <v>124</v>
      </c>
      <c r="H314" s="1">
        <v>3131</v>
      </c>
      <c r="I314" s="1">
        <v>2380</v>
      </c>
    </row>
    <row r="315" spans="1:9" x14ac:dyDescent="0.25">
      <c r="A315" s="1" t="s">
        <v>1133</v>
      </c>
      <c r="B315" s="57">
        <v>43414</v>
      </c>
      <c r="C315" s="1" t="s">
        <v>880</v>
      </c>
      <c r="D315" s="1" t="s">
        <v>853</v>
      </c>
      <c r="E315" s="1" t="s">
        <v>854</v>
      </c>
      <c r="F315" s="1" t="s">
        <v>224</v>
      </c>
      <c r="G315" s="1" t="s">
        <v>124</v>
      </c>
      <c r="H315" s="1">
        <v>3825</v>
      </c>
      <c r="I315" s="1">
        <v>2333</v>
      </c>
    </row>
    <row r="316" spans="1:9" x14ac:dyDescent="0.25">
      <c r="A316" s="1" t="s">
        <v>1134</v>
      </c>
      <c r="B316" s="57">
        <v>43415</v>
      </c>
      <c r="C316" s="1" t="s">
        <v>882</v>
      </c>
      <c r="D316" s="1" t="s">
        <v>853</v>
      </c>
      <c r="E316" s="1" t="s">
        <v>854</v>
      </c>
      <c r="F316" s="1" t="s">
        <v>224</v>
      </c>
      <c r="G316" s="1" t="s">
        <v>124</v>
      </c>
      <c r="H316" s="1">
        <v>4362</v>
      </c>
      <c r="I316" s="1">
        <v>3446</v>
      </c>
    </row>
    <row r="317" spans="1:9" x14ac:dyDescent="0.25">
      <c r="A317" s="1" t="s">
        <v>1135</v>
      </c>
      <c r="B317" s="57">
        <v>43416</v>
      </c>
      <c r="C317" s="1" t="s">
        <v>816</v>
      </c>
      <c r="D317" s="1" t="s">
        <v>817</v>
      </c>
      <c r="E317" s="1" t="s">
        <v>818</v>
      </c>
      <c r="F317" s="1" t="s">
        <v>818</v>
      </c>
      <c r="G317" s="1" t="s">
        <v>819</v>
      </c>
      <c r="H317" s="1">
        <v>2934</v>
      </c>
      <c r="I317" s="1">
        <v>1819</v>
      </c>
    </row>
    <row r="318" spans="1:9" x14ac:dyDescent="0.25">
      <c r="A318" s="1" t="s">
        <v>1136</v>
      </c>
      <c r="B318" s="57">
        <v>43417</v>
      </c>
      <c r="C318" s="1" t="s">
        <v>821</v>
      </c>
      <c r="D318" s="1" t="s">
        <v>817</v>
      </c>
      <c r="E318" s="1" t="s">
        <v>818</v>
      </c>
      <c r="F318" s="1" t="s">
        <v>818</v>
      </c>
      <c r="G318" s="1" t="s">
        <v>819</v>
      </c>
      <c r="H318" s="1">
        <v>4354</v>
      </c>
      <c r="I318" s="1">
        <v>2787</v>
      </c>
    </row>
    <row r="319" spans="1:9" x14ac:dyDescent="0.25">
      <c r="A319" s="1" t="s">
        <v>1137</v>
      </c>
      <c r="B319" s="57">
        <v>43418</v>
      </c>
      <c r="C319" s="1" t="s">
        <v>823</v>
      </c>
      <c r="D319" s="1" t="s">
        <v>817</v>
      </c>
      <c r="E319" s="1" t="s">
        <v>818</v>
      </c>
      <c r="F319" s="1" t="s">
        <v>818</v>
      </c>
      <c r="G319" s="1" t="s">
        <v>819</v>
      </c>
      <c r="H319" s="1">
        <v>2102</v>
      </c>
      <c r="I319" s="1">
        <v>1534</v>
      </c>
    </row>
    <row r="320" spans="1:9" x14ac:dyDescent="0.25">
      <c r="A320" s="1" t="s">
        <v>1138</v>
      </c>
      <c r="B320" s="57">
        <v>43419</v>
      </c>
      <c r="C320" s="1" t="s">
        <v>825</v>
      </c>
      <c r="D320" s="1" t="s">
        <v>826</v>
      </c>
      <c r="E320" s="1" t="s">
        <v>827</v>
      </c>
      <c r="F320" s="1" t="s">
        <v>828</v>
      </c>
      <c r="G320" s="1" t="s">
        <v>819</v>
      </c>
      <c r="H320" s="1">
        <v>3261</v>
      </c>
      <c r="I320" s="1">
        <v>2446</v>
      </c>
    </row>
    <row r="321" spans="1:9" x14ac:dyDescent="0.25">
      <c r="A321" s="1" t="s">
        <v>1139</v>
      </c>
      <c r="B321" s="57">
        <v>43420</v>
      </c>
      <c r="C321" s="1" t="s">
        <v>830</v>
      </c>
      <c r="D321" s="1" t="s">
        <v>826</v>
      </c>
      <c r="E321" s="1" t="s">
        <v>827</v>
      </c>
      <c r="F321" s="1" t="s">
        <v>828</v>
      </c>
      <c r="G321" s="1" t="s">
        <v>819</v>
      </c>
      <c r="H321" s="1">
        <v>2577</v>
      </c>
      <c r="I321" s="1">
        <v>1907</v>
      </c>
    </row>
    <row r="322" spans="1:9" x14ac:dyDescent="0.25">
      <c r="A322" s="1" t="s">
        <v>1140</v>
      </c>
      <c r="B322" s="57">
        <v>43421</v>
      </c>
      <c r="C322" s="1" t="s">
        <v>832</v>
      </c>
      <c r="D322" s="1" t="s">
        <v>826</v>
      </c>
      <c r="E322" s="1" t="s">
        <v>827</v>
      </c>
      <c r="F322" s="1" t="s">
        <v>828</v>
      </c>
      <c r="G322" s="1" t="s">
        <v>819</v>
      </c>
      <c r="H322" s="1">
        <v>3131</v>
      </c>
      <c r="I322" s="1">
        <v>1973</v>
      </c>
    </row>
    <row r="323" spans="1:9" x14ac:dyDescent="0.25">
      <c r="A323" s="1" t="s">
        <v>1141</v>
      </c>
      <c r="B323" s="57">
        <v>43422</v>
      </c>
      <c r="C323" s="1" t="s">
        <v>834</v>
      </c>
      <c r="D323" s="1" t="s">
        <v>826</v>
      </c>
      <c r="E323" s="1" t="s">
        <v>827</v>
      </c>
      <c r="F323" s="1" t="s">
        <v>828</v>
      </c>
      <c r="G323" s="1" t="s">
        <v>819</v>
      </c>
      <c r="H323" s="1">
        <v>2683</v>
      </c>
      <c r="I323" s="1">
        <v>1798</v>
      </c>
    </row>
    <row r="324" spans="1:9" x14ac:dyDescent="0.25">
      <c r="A324" s="1" t="s">
        <v>1142</v>
      </c>
      <c r="B324" s="57">
        <v>43423</v>
      </c>
      <c r="C324" s="1" t="s">
        <v>836</v>
      </c>
      <c r="D324" s="1" t="s">
        <v>826</v>
      </c>
      <c r="E324" s="1" t="s">
        <v>827</v>
      </c>
      <c r="F324" s="1" t="s">
        <v>828</v>
      </c>
      <c r="G324" s="1" t="s">
        <v>819</v>
      </c>
      <c r="H324" s="1">
        <v>2613</v>
      </c>
      <c r="I324" s="1">
        <v>1751</v>
      </c>
    </row>
    <row r="325" spans="1:9" x14ac:dyDescent="0.25">
      <c r="A325" s="1" t="s">
        <v>1143</v>
      </c>
      <c r="B325" s="57">
        <v>43424</v>
      </c>
      <c r="C325" s="1" t="s">
        <v>838</v>
      </c>
      <c r="D325" s="1" t="s">
        <v>839</v>
      </c>
      <c r="E325" s="1" t="s">
        <v>840</v>
      </c>
      <c r="F325" s="1" t="s">
        <v>841</v>
      </c>
      <c r="G325" s="1" t="s">
        <v>85</v>
      </c>
      <c r="H325" s="1">
        <v>4076</v>
      </c>
      <c r="I325" s="1">
        <v>2609</v>
      </c>
    </row>
    <row r="326" spans="1:9" x14ac:dyDescent="0.25">
      <c r="A326" s="1" t="s">
        <v>1144</v>
      </c>
      <c r="B326" s="57">
        <v>43425</v>
      </c>
      <c r="C326" s="1" t="s">
        <v>843</v>
      </c>
      <c r="D326" s="1" t="s">
        <v>844</v>
      </c>
      <c r="E326" s="1" t="s">
        <v>845</v>
      </c>
      <c r="F326" s="1" t="s">
        <v>846</v>
      </c>
      <c r="G326" s="1" t="s">
        <v>124</v>
      </c>
      <c r="H326" s="1">
        <v>4400</v>
      </c>
      <c r="I326" s="1">
        <v>3432</v>
      </c>
    </row>
    <row r="327" spans="1:9" x14ac:dyDescent="0.25">
      <c r="A327" s="1" t="s">
        <v>1145</v>
      </c>
      <c r="B327" s="57">
        <v>43426</v>
      </c>
      <c r="C327" s="1" t="s">
        <v>848</v>
      </c>
      <c r="D327" s="1" t="s">
        <v>839</v>
      </c>
      <c r="E327" s="1" t="s">
        <v>849</v>
      </c>
      <c r="F327" s="1" t="s">
        <v>850</v>
      </c>
      <c r="G327" s="1" t="s">
        <v>85</v>
      </c>
      <c r="H327" s="1">
        <v>2466</v>
      </c>
      <c r="I327" s="1">
        <v>1603</v>
      </c>
    </row>
    <row r="328" spans="1:9" x14ac:dyDescent="0.25">
      <c r="A328" s="1" t="s">
        <v>1146</v>
      </c>
      <c r="B328" s="57">
        <v>43427</v>
      </c>
      <c r="C328" s="1" t="s">
        <v>852</v>
      </c>
      <c r="D328" s="1" t="s">
        <v>853</v>
      </c>
      <c r="E328" s="1" t="s">
        <v>854</v>
      </c>
      <c r="F328" s="1" t="s">
        <v>232</v>
      </c>
      <c r="G328" s="1" t="s">
        <v>124</v>
      </c>
      <c r="H328" s="1">
        <v>2137</v>
      </c>
      <c r="I328" s="1">
        <v>1325</v>
      </c>
    </row>
    <row r="329" spans="1:9" x14ac:dyDescent="0.25">
      <c r="A329" s="1" t="s">
        <v>1147</v>
      </c>
      <c r="B329" s="57">
        <v>43428</v>
      </c>
      <c r="C329" s="1" t="s">
        <v>856</v>
      </c>
      <c r="D329" s="1" t="s">
        <v>853</v>
      </c>
      <c r="E329" s="1" t="s">
        <v>857</v>
      </c>
      <c r="F329" s="1" t="s">
        <v>858</v>
      </c>
      <c r="G329" s="1" t="s">
        <v>124</v>
      </c>
      <c r="H329" s="1">
        <v>4216</v>
      </c>
      <c r="I329" s="1">
        <v>3162</v>
      </c>
    </row>
    <row r="330" spans="1:9" x14ac:dyDescent="0.25">
      <c r="A330" s="1" t="s">
        <v>1148</v>
      </c>
      <c r="B330" s="57">
        <v>43429</v>
      </c>
      <c r="C330" s="1" t="s">
        <v>860</v>
      </c>
      <c r="D330" s="1" t="s">
        <v>853</v>
      </c>
      <c r="E330" s="1" t="s">
        <v>857</v>
      </c>
      <c r="F330" s="1" t="s">
        <v>858</v>
      </c>
      <c r="G330" s="1" t="s">
        <v>124</v>
      </c>
      <c r="H330" s="1">
        <v>3165</v>
      </c>
      <c r="I330" s="1">
        <v>2310</v>
      </c>
    </row>
    <row r="331" spans="1:9" x14ac:dyDescent="0.25">
      <c r="A331" s="1" t="s">
        <v>1149</v>
      </c>
      <c r="B331" s="57">
        <v>43430</v>
      </c>
      <c r="C331" s="1" t="s">
        <v>862</v>
      </c>
      <c r="D331" s="1" t="s">
        <v>863</v>
      </c>
      <c r="E331" s="1" t="s">
        <v>864</v>
      </c>
      <c r="F331" s="1" t="s">
        <v>865</v>
      </c>
      <c r="G331" s="1" t="s">
        <v>819</v>
      </c>
      <c r="H331" s="1">
        <v>3263</v>
      </c>
      <c r="I331" s="1">
        <v>2545</v>
      </c>
    </row>
    <row r="332" spans="1:9" x14ac:dyDescent="0.25">
      <c r="A332" s="1" t="s">
        <v>1150</v>
      </c>
      <c r="B332" s="57">
        <v>43431</v>
      </c>
      <c r="C332" s="1" t="s">
        <v>867</v>
      </c>
      <c r="D332" s="1" t="s">
        <v>826</v>
      </c>
      <c r="E332" s="1" t="s">
        <v>868</v>
      </c>
      <c r="F332" s="1" t="s">
        <v>869</v>
      </c>
      <c r="G332" s="1" t="s">
        <v>819</v>
      </c>
      <c r="H332" s="1">
        <v>2946</v>
      </c>
      <c r="I332" s="1">
        <v>2210</v>
      </c>
    </row>
    <row r="333" spans="1:9" x14ac:dyDescent="0.25">
      <c r="A333" s="1" t="s">
        <v>1151</v>
      </c>
      <c r="B333" s="57">
        <v>43432</v>
      </c>
      <c r="C333" s="1" t="s">
        <v>871</v>
      </c>
      <c r="D333" s="1" t="s">
        <v>872</v>
      </c>
      <c r="E333" s="1" t="s">
        <v>873</v>
      </c>
      <c r="F333" s="1" t="s">
        <v>874</v>
      </c>
      <c r="G333" s="1" t="s">
        <v>819</v>
      </c>
      <c r="H333" s="1">
        <v>2989</v>
      </c>
      <c r="I333" s="1">
        <v>2212</v>
      </c>
    </row>
    <row r="334" spans="1:9" x14ac:dyDescent="0.25">
      <c r="A334" s="1" t="s">
        <v>1152</v>
      </c>
      <c r="B334" s="57">
        <v>43433</v>
      </c>
      <c r="C334" s="1" t="s">
        <v>876</v>
      </c>
      <c r="D334" s="1" t="s">
        <v>872</v>
      </c>
      <c r="E334" s="1" t="s">
        <v>873</v>
      </c>
      <c r="F334" s="1" t="s">
        <v>874</v>
      </c>
      <c r="G334" s="1" t="s">
        <v>819</v>
      </c>
      <c r="H334" s="1">
        <v>3463</v>
      </c>
      <c r="I334" s="1">
        <v>2770</v>
      </c>
    </row>
    <row r="335" spans="1:9" x14ac:dyDescent="0.25">
      <c r="A335" s="1" t="s">
        <v>1153</v>
      </c>
      <c r="B335" s="57">
        <v>43434</v>
      </c>
      <c r="C335" s="1" t="s">
        <v>878</v>
      </c>
      <c r="D335" s="1" t="s">
        <v>853</v>
      </c>
      <c r="E335" s="1" t="s">
        <v>854</v>
      </c>
      <c r="F335" s="1" t="s">
        <v>224</v>
      </c>
      <c r="G335" s="1" t="s">
        <v>124</v>
      </c>
      <c r="H335" s="1">
        <v>2677</v>
      </c>
      <c r="I335" s="1">
        <v>2088</v>
      </c>
    </row>
    <row r="336" spans="1:9" x14ac:dyDescent="0.25">
      <c r="A336" s="1" t="s">
        <v>1154</v>
      </c>
      <c r="B336" s="57">
        <v>43435</v>
      </c>
      <c r="C336" s="1" t="s">
        <v>880</v>
      </c>
      <c r="D336" s="1" t="s">
        <v>853</v>
      </c>
      <c r="E336" s="1" t="s">
        <v>854</v>
      </c>
      <c r="F336" s="1" t="s">
        <v>224</v>
      </c>
      <c r="G336" s="1" t="s">
        <v>124</v>
      </c>
      <c r="H336" s="1">
        <v>2966</v>
      </c>
      <c r="I336" s="1">
        <v>1928</v>
      </c>
    </row>
    <row r="337" spans="1:9" x14ac:dyDescent="0.25">
      <c r="A337" s="1" t="s">
        <v>1155</v>
      </c>
      <c r="B337" s="57">
        <v>43436</v>
      </c>
      <c r="C337" s="1" t="s">
        <v>882</v>
      </c>
      <c r="D337" s="1" t="s">
        <v>853</v>
      </c>
      <c r="E337" s="1" t="s">
        <v>854</v>
      </c>
      <c r="F337" s="1" t="s">
        <v>224</v>
      </c>
      <c r="G337" s="1" t="s">
        <v>124</v>
      </c>
      <c r="H337" s="1">
        <v>2106</v>
      </c>
      <c r="I337" s="1">
        <v>1516</v>
      </c>
    </row>
    <row r="338" spans="1:9" x14ac:dyDescent="0.25">
      <c r="A338" s="1" t="s">
        <v>1156</v>
      </c>
      <c r="B338" s="57">
        <v>43437</v>
      </c>
      <c r="C338" s="1" t="s">
        <v>816</v>
      </c>
      <c r="D338" s="1" t="s">
        <v>817</v>
      </c>
      <c r="E338" s="1" t="s">
        <v>818</v>
      </c>
      <c r="F338" s="1" t="s">
        <v>818</v>
      </c>
      <c r="G338" s="1" t="s">
        <v>819</v>
      </c>
      <c r="H338" s="1">
        <v>3664</v>
      </c>
      <c r="I338" s="1">
        <v>2272</v>
      </c>
    </row>
    <row r="339" spans="1:9" x14ac:dyDescent="0.25">
      <c r="A339" s="1" t="s">
        <v>1157</v>
      </c>
      <c r="B339" s="57">
        <v>43438</v>
      </c>
      <c r="C339" s="1" t="s">
        <v>821</v>
      </c>
      <c r="D339" s="1" t="s">
        <v>817</v>
      </c>
      <c r="E339" s="1" t="s">
        <v>818</v>
      </c>
      <c r="F339" s="1" t="s">
        <v>818</v>
      </c>
      <c r="G339" s="1" t="s">
        <v>819</v>
      </c>
      <c r="H339" s="1">
        <v>3069</v>
      </c>
      <c r="I339" s="1">
        <v>2240</v>
      </c>
    </row>
    <row r="340" spans="1:9" x14ac:dyDescent="0.25">
      <c r="A340" s="1" t="s">
        <v>1158</v>
      </c>
      <c r="B340" s="57">
        <v>43439</v>
      </c>
      <c r="C340" s="1" t="s">
        <v>823</v>
      </c>
      <c r="D340" s="1" t="s">
        <v>817</v>
      </c>
      <c r="E340" s="1" t="s">
        <v>818</v>
      </c>
      <c r="F340" s="1" t="s">
        <v>818</v>
      </c>
      <c r="G340" s="1" t="s">
        <v>819</v>
      </c>
      <c r="H340" s="1">
        <v>3755</v>
      </c>
      <c r="I340" s="1">
        <v>2516</v>
      </c>
    </row>
    <row r="341" spans="1:9" x14ac:dyDescent="0.25">
      <c r="A341" s="1" t="s">
        <v>1159</v>
      </c>
      <c r="B341" s="57">
        <v>43440</v>
      </c>
      <c r="C341" s="1" t="s">
        <v>825</v>
      </c>
      <c r="D341" s="1" t="s">
        <v>826</v>
      </c>
      <c r="E341" s="1" t="s">
        <v>827</v>
      </c>
      <c r="F341" s="1" t="s">
        <v>828</v>
      </c>
      <c r="G341" s="1" t="s">
        <v>819</v>
      </c>
      <c r="H341" s="1">
        <v>3215</v>
      </c>
      <c r="I341" s="1">
        <v>2058</v>
      </c>
    </row>
    <row r="342" spans="1:9" x14ac:dyDescent="0.25">
      <c r="A342" s="1" t="s">
        <v>1160</v>
      </c>
      <c r="B342" s="57">
        <v>43441</v>
      </c>
      <c r="C342" s="1" t="s">
        <v>830</v>
      </c>
      <c r="D342" s="1" t="s">
        <v>826</v>
      </c>
      <c r="E342" s="1" t="s">
        <v>827</v>
      </c>
      <c r="F342" s="1" t="s">
        <v>828</v>
      </c>
      <c r="G342" s="1" t="s">
        <v>819</v>
      </c>
      <c r="H342" s="1">
        <v>3685</v>
      </c>
      <c r="I342" s="1">
        <v>2543</v>
      </c>
    </row>
    <row r="343" spans="1:9" x14ac:dyDescent="0.25">
      <c r="A343" s="1" t="s">
        <v>1161</v>
      </c>
      <c r="B343" s="57">
        <v>43442</v>
      </c>
      <c r="C343" s="1" t="s">
        <v>832</v>
      </c>
      <c r="D343" s="1" t="s">
        <v>826</v>
      </c>
      <c r="E343" s="1" t="s">
        <v>827</v>
      </c>
      <c r="F343" s="1" t="s">
        <v>828</v>
      </c>
      <c r="G343" s="1" t="s">
        <v>819</v>
      </c>
      <c r="H343" s="1">
        <v>4015</v>
      </c>
      <c r="I343" s="1">
        <v>2730</v>
      </c>
    </row>
    <row r="344" spans="1:9" x14ac:dyDescent="0.25">
      <c r="A344" s="1" t="s">
        <v>1162</v>
      </c>
      <c r="B344" s="57">
        <v>43443</v>
      </c>
      <c r="C344" s="1" t="s">
        <v>834</v>
      </c>
      <c r="D344" s="1" t="s">
        <v>826</v>
      </c>
      <c r="E344" s="1" t="s">
        <v>827</v>
      </c>
      <c r="F344" s="1" t="s">
        <v>828</v>
      </c>
      <c r="G344" s="1" t="s">
        <v>819</v>
      </c>
      <c r="H344" s="1">
        <v>2517</v>
      </c>
      <c r="I344" s="1">
        <v>1661</v>
      </c>
    </row>
    <row r="345" spans="1:9" x14ac:dyDescent="0.25">
      <c r="A345" s="1" t="s">
        <v>1163</v>
      </c>
      <c r="B345" s="57">
        <v>43444</v>
      </c>
      <c r="C345" s="1" t="s">
        <v>836</v>
      </c>
      <c r="D345" s="1" t="s">
        <v>826</v>
      </c>
      <c r="E345" s="1" t="s">
        <v>827</v>
      </c>
      <c r="F345" s="1" t="s">
        <v>828</v>
      </c>
      <c r="G345" s="1" t="s">
        <v>819</v>
      </c>
      <c r="H345" s="1">
        <v>2598</v>
      </c>
      <c r="I345" s="1">
        <v>1793</v>
      </c>
    </row>
    <row r="346" spans="1:9" x14ac:dyDescent="0.25">
      <c r="A346" s="1" t="s">
        <v>1164</v>
      </c>
      <c r="B346" s="57">
        <v>43445</v>
      </c>
      <c r="C346" s="1" t="s">
        <v>838</v>
      </c>
      <c r="D346" s="1" t="s">
        <v>839</v>
      </c>
      <c r="E346" s="1" t="s">
        <v>840</v>
      </c>
      <c r="F346" s="1" t="s">
        <v>841</v>
      </c>
      <c r="G346" s="1" t="s">
        <v>85</v>
      </c>
      <c r="H346" s="1">
        <v>3513</v>
      </c>
      <c r="I346" s="1">
        <v>2740</v>
      </c>
    </row>
    <row r="347" spans="1:9" x14ac:dyDescent="0.25">
      <c r="A347" s="1" t="s">
        <v>1165</v>
      </c>
      <c r="B347" s="57">
        <v>43446</v>
      </c>
      <c r="C347" s="1" t="s">
        <v>843</v>
      </c>
      <c r="D347" s="1" t="s">
        <v>844</v>
      </c>
      <c r="E347" s="1" t="s">
        <v>845</v>
      </c>
      <c r="F347" s="1" t="s">
        <v>846</v>
      </c>
      <c r="G347" s="1" t="s">
        <v>124</v>
      </c>
      <c r="H347" s="1">
        <v>2247</v>
      </c>
      <c r="I347" s="1">
        <v>1775</v>
      </c>
    </row>
    <row r="348" spans="1:9" x14ac:dyDescent="0.25">
      <c r="A348" s="1" t="s">
        <v>1166</v>
      </c>
      <c r="B348" s="57">
        <v>43447</v>
      </c>
      <c r="C348" s="1" t="s">
        <v>848</v>
      </c>
      <c r="D348" s="1" t="s">
        <v>839</v>
      </c>
      <c r="E348" s="1" t="s">
        <v>849</v>
      </c>
      <c r="F348" s="1" t="s">
        <v>850</v>
      </c>
      <c r="G348" s="1" t="s">
        <v>85</v>
      </c>
      <c r="H348" s="1">
        <v>2878</v>
      </c>
      <c r="I348" s="1">
        <v>1784</v>
      </c>
    </row>
    <row r="349" spans="1:9" x14ac:dyDescent="0.25">
      <c r="A349" s="1" t="s">
        <v>1167</v>
      </c>
      <c r="B349" s="57">
        <v>43448</v>
      </c>
      <c r="C349" s="1" t="s">
        <v>852</v>
      </c>
      <c r="D349" s="1" t="s">
        <v>853</v>
      </c>
      <c r="E349" s="1" t="s">
        <v>854</v>
      </c>
      <c r="F349" s="1" t="s">
        <v>232</v>
      </c>
      <c r="G349" s="1" t="s">
        <v>124</v>
      </c>
      <c r="H349" s="1">
        <v>3425</v>
      </c>
      <c r="I349" s="1">
        <v>2706</v>
      </c>
    </row>
    <row r="350" spans="1:9" x14ac:dyDescent="0.25">
      <c r="A350" s="1" t="s">
        <v>1168</v>
      </c>
      <c r="B350" s="57">
        <v>43449</v>
      </c>
      <c r="C350" s="1" t="s">
        <v>856</v>
      </c>
      <c r="D350" s="1" t="s">
        <v>853</v>
      </c>
      <c r="E350" s="1" t="s">
        <v>857</v>
      </c>
      <c r="F350" s="1" t="s">
        <v>858</v>
      </c>
      <c r="G350" s="1" t="s">
        <v>124</v>
      </c>
      <c r="H350" s="1">
        <v>2865</v>
      </c>
      <c r="I350" s="1">
        <v>2091</v>
      </c>
    </row>
    <row r="351" spans="1:9" x14ac:dyDescent="0.25">
      <c r="A351" s="1" t="s">
        <v>1169</v>
      </c>
      <c r="B351" s="57">
        <v>43450</v>
      </c>
      <c r="C351" s="1" t="s">
        <v>860</v>
      </c>
      <c r="D351" s="1" t="s">
        <v>853</v>
      </c>
      <c r="E351" s="1" t="s">
        <v>857</v>
      </c>
      <c r="F351" s="1" t="s">
        <v>858</v>
      </c>
      <c r="G351" s="1" t="s">
        <v>124</v>
      </c>
      <c r="H351" s="1">
        <v>2393</v>
      </c>
      <c r="I351" s="1">
        <v>1723</v>
      </c>
    </row>
    <row r="352" spans="1:9" x14ac:dyDescent="0.25">
      <c r="A352" s="1" t="s">
        <v>1170</v>
      </c>
      <c r="B352" s="57">
        <v>43451</v>
      </c>
      <c r="C352" s="1" t="s">
        <v>862</v>
      </c>
      <c r="D352" s="1" t="s">
        <v>863</v>
      </c>
      <c r="E352" s="1" t="s">
        <v>864</v>
      </c>
      <c r="F352" s="1" t="s">
        <v>865</v>
      </c>
      <c r="G352" s="1" t="s">
        <v>819</v>
      </c>
      <c r="H352" s="1">
        <v>3149</v>
      </c>
      <c r="I352" s="1">
        <v>2299</v>
      </c>
    </row>
    <row r="353" spans="1:9" x14ac:dyDescent="0.25">
      <c r="A353" s="1" t="s">
        <v>1171</v>
      </c>
      <c r="B353" s="57">
        <v>43452</v>
      </c>
      <c r="C353" s="1" t="s">
        <v>867</v>
      </c>
      <c r="D353" s="1" t="s">
        <v>826</v>
      </c>
      <c r="E353" s="1" t="s">
        <v>868</v>
      </c>
      <c r="F353" s="1" t="s">
        <v>869</v>
      </c>
      <c r="G353" s="1" t="s">
        <v>819</v>
      </c>
      <c r="H353" s="1">
        <v>3277</v>
      </c>
      <c r="I353" s="1">
        <v>2130</v>
      </c>
    </row>
    <row r="354" spans="1:9" x14ac:dyDescent="0.25">
      <c r="A354" s="1" t="s">
        <v>1172</v>
      </c>
      <c r="B354" s="57">
        <v>43453</v>
      </c>
      <c r="C354" s="1" t="s">
        <v>871</v>
      </c>
      <c r="D354" s="1" t="s">
        <v>872</v>
      </c>
      <c r="E354" s="1" t="s">
        <v>873</v>
      </c>
      <c r="F354" s="1" t="s">
        <v>874</v>
      </c>
      <c r="G354" s="1" t="s">
        <v>819</v>
      </c>
      <c r="H354" s="1">
        <v>2713</v>
      </c>
      <c r="I354" s="1">
        <v>1682</v>
      </c>
    </row>
    <row r="355" spans="1:9" x14ac:dyDescent="0.25">
      <c r="A355" s="1" t="s">
        <v>1173</v>
      </c>
      <c r="B355" s="57">
        <v>43454</v>
      </c>
      <c r="C355" s="1" t="s">
        <v>876</v>
      </c>
      <c r="D355" s="1" t="s">
        <v>872</v>
      </c>
      <c r="E355" s="1" t="s">
        <v>873</v>
      </c>
      <c r="F355" s="1" t="s">
        <v>874</v>
      </c>
      <c r="G355" s="1" t="s">
        <v>819</v>
      </c>
      <c r="H355" s="1">
        <v>3381</v>
      </c>
      <c r="I355" s="1">
        <v>2231</v>
      </c>
    </row>
    <row r="356" spans="1:9" x14ac:dyDescent="0.25">
      <c r="A356" s="1" t="s">
        <v>1174</v>
      </c>
      <c r="B356" s="57">
        <v>43455</v>
      </c>
      <c r="C356" s="1" t="s">
        <v>878</v>
      </c>
      <c r="D356" s="1" t="s">
        <v>853</v>
      </c>
      <c r="E356" s="1" t="s">
        <v>854</v>
      </c>
      <c r="F356" s="1" t="s">
        <v>224</v>
      </c>
      <c r="G356" s="1" t="s">
        <v>124</v>
      </c>
      <c r="H356" s="1">
        <v>2545</v>
      </c>
      <c r="I356" s="1">
        <v>2011</v>
      </c>
    </row>
    <row r="357" spans="1:9" x14ac:dyDescent="0.25">
      <c r="A357" s="1" t="s">
        <v>1175</v>
      </c>
      <c r="B357" s="57">
        <v>43456</v>
      </c>
      <c r="C357" s="1" t="s">
        <v>880</v>
      </c>
      <c r="D357" s="1" t="s">
        <v>853</v>
      </c>
      <c r="E357" s="1" t="s">
        <v>854</v>
      </c>
      <c r="F357" s="1" t="s">
        <v>224</v>
      </c>
      <c r="G357" s="1" t="s">
        <v>124</v>
      </c>
      <c r="H357" s="1">
        <v>4473</v>
      </c>
      <c r="I357" s="1">
        <v>2729</v>
      </c>
    </row>
    <row r="358" spans="1:9" x14ac:dyDescent="0.25">
      <c r="A358" s="1" t="s">
        <v>1176</v>
      </c>
      <c r="B358" s="57">
        <v>43457</v>
      </c>
      <c r="C358" s="1" t="s">
        <v>882</v>
      </c>
      <c r="D358" s="1" t="s">
        <v>853</v>
      </c>
      <c r="E358" s="1" t="s">
        <v>854</v>
      </c>
      <c r="F358" s="1" t="s">
        <v>224</v>
      </c>
      <c r="G358" s="1" t="s">
        <v>124</v>
      </c>
      <c r="H358" s="1">
        <v>3332</v>
      </c>
      <c r="I358" s="1">
        <v>2132</v>
      </c>
    </row>
    <row r="359" spans="1:9" x14ac:dyDescent="0.25">
      <c r="A359" s="1" t="s">
        <v>1177</v>
      </c>
      <c r="B359" s="57">
        <v>43458</v>
      </c>
      <c r="C359" s="1" t="s">
        <v>816</v>
      </c>
      <c r="D359" s="1" t="s">
        <v>817</v>
      </c>
      <c r="E359" s="1" t="s">
        <v>818</v>
      </c>
      <c r="F359" s="1" t="s">
        <v>818</v>
      </c>
      <c r="G359" s="1" t="s">
        <v>819</v>
      </c>
      <c r="H359" s="1">
        <v>2283</v>
      </c>
      <c r="I359" s="1">
        <v>1438</v>
      </c>
    </row>
    <row r="360" spans="1:9" x14ac:dyDescent="0.25">
      <c r="A360" s="1" t="s">
        <v>1178</v>
      </c>
      <c r="B360" s="57">
        <v>43459</v>
      </c>
      <c r="C360" s="1" t="s">
        <v>821</v>
      </c>
      <c r="D360" s="1" t="s">
        <v>817</v>
      </c>
      <c r="E360" s="1" t="s">
        <v>818</v>
      </c>
      <c r="F360" s="1" t="s">
        <v>818</v>
      </c>
      <c r="G360" s="1" t="s">
        <v>819</v>
      </c>
      <c r="H360" s="1">
        <v>2696</v>
      </c>
      <c r="I360" s="1">
        <v>1833</v>
      </c>
    </row>
    <row r="361" spans="1:9" x14ac:dyDescent="0.25">
      <c r="A361" s="1" t="s">
        <v>1179</v>
      </c>
      <c r="B361" s="57">
        <v>43460</v>
      </c>
      <c r="C361" s="1" t="s">
        <v>823</v>
      </c>
      <c r="D361" s="1" t="s">
        <v>817</v>
      </c>
      <c r="E361" s="1" t="s">
        <v>818</v>
      </c>
      <c r="F361" s="1" t="s">
        <v>818</v>
      </c>
      <c r="G361" s="1" t="s">
        <v>819</v>
      </c>
      <c r="H361" s="1">
        <v>4061</v>
      </c>
      <c r="I361" s="1">
        <v>3127</v>
      </c>
    </row>
    <row r="362" spans="1:9" x14ac:dyDescent="0.25">
      <c r="A362" s="1" t="s">
        <v>1180</v>
      </c>
      <c r="B362" s="57">
        <v>43461</v>
      </c>
      <c r="C362" s="1" t="s">
        <v>825</v>
      </c>
      <c r="D362" s="1" t="s">
        <v>826</v>
      </c>
      <c r="E362" s="1" t="s">
        <v>827</v>
      </c>
      <c r="F362" s="1" t="s">
        <v>828</v>
      </c>
      <c r="G362" s="1" t="s">
        <v>819</v>
      </c>
      <c r="H362" s="1">
        <v>2382</v>
      </c>
      <c r="I362" s="1">
        <v>1548</v>
      </c>
    </row>
    <row r="363" spans="1:9" x14ac:dyDescent="0.25">
      <c r="A363" s="1" t="s">
        <v>1181</v>
      </c>
      <c r="B363" s="57">
        <v>43462</v>
      </c>
      <c r="C363" s="1" t="s">
        <v>830</v>
      </c>
      <c r="D363" s="1" t="s">
        <v>826</v>
      </c>
      <c r="E363" s="1" t="s">
        <v>827</v>
      </c>
      <c r="F363" s="1" t="s">
        <v>828</v>
      </c>
      <c r="G363" s="1" t="s">
        <v>819</v>
      </c>
      <c r="H363" s="1">
        <v>4336</v>
      </c>
      <c r="I363" s="1">
        <v>2602</v>
      </c>
    </row>
    <row r="364" spans="1:9" x14ac:dyDescent="0.25">
      <c r="A364" s="1" t="s">
        <v>1182</v>
      </c>
      <c r="B364" s="57">
        <v>43463</v>
      </c>
      <c r="C364" s="1" t="s">
        <v>832</v>
      </c>
      <c r="D364" s="1" t="s">
        <v>826</v>
      </c>
      <c r="E364" s="1" t="s">
        <v>827</v>
      </c>
      <c r="F364" s="1" t="s">
        <v>828</v>
      </c>
      <c r="G364" s="1" t="s">
        <v>819</v>
      </c>
      <c r="H364" s="1">
        <v>2602</v>
      </c>
      <c r="I364" s="1">
        <v>2004</v>
      </c>
    </row>
    <row r="365" spans="1:9" x14ac:dyDescent="0.25">
      <c r="A365" s="1" t="s">
        <v>1183</v>
      </c>
      <c r="B365" s="57">
        <v>43464</v>
      </c>
      <c r="C365" s="1" t="s">
        <v>834</v>
      </c>
      <c r="D365" s="1" t="s">
        <v>826</v>
      </c>
      <c r="E365" s="1" t="s">
        <v>827</v>
      </c>
      <c r="F365" s="1" t="s">
        <v>828</v>
      </c>
      <c r="G365" s="1" t="s">
        <v>819</v>
      </c>
      <c r="H365" s="1">
        <v>3094</v>
      </c>
      <c r="I365" s="1">
        <v>2073</v>
      </c>
    </row>
    <row r="366" spans="1:9" x14ac:dyDescent="0.25">
      <c r="A366" s="1" t="s">
        <v>1184</v>
      </c>
      <c r="B366" s="57">
        <v>43465</v>
      </c>
      <c r="C366" s="1" t="s">
        <v>836</v>
      </c>
      <c r="D366" s="1" t="s">
        <v>826</v>
      </c>
      <c r="E366" s="1" t="s">
        <v>827</v>
      </c>
      <c r="F366" s="1" t="s">
        <v>828</v>
      </c>
      <c r="G366" s="1" t="s">
        <v>819</v>
      </c>
      <c r="H366" s="1">
        <v>3510</v>
      </c>
      <c r="I366" s="1">
        <v>2141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workbookViewId="0">
      <selection activeCell="N18" sqref="N18"/>
    </sheetView>
  </sheetViews>
  <sheetFormatPr defaultRowHeight="15" x14ac:dyDescent="0.25"/>
  <cols>
    <col min="1" max="1" width="13.140625" customWidth="1"/>
    <col min="2" max="2" width="12.140625" customWidth="1"/>
    <col min="3" max="4" width="7" customWidth="1"/>
    <col min="5" max="5" width="11.28515625" bestFit="1" customWidth="1"/>
  </cols>
  <sheetData>
    <row r="1" spans="1:2" x14ac:dyDescent="0.25">
      <c r="A1" s="58" t="s">
        <v>1185</v>
      </c>
      <c r="B1" t="s">
        <v>1187</v>
      </c>
    </row>
    <row r="2" spans="1:2" x14ac:dyDescent="0.25">
      <c r="A2" s="33" t="s">
        <v>819</v>
      </c>
      <c r="B2" s="29">
        <v>669888</v>
      </c>
    </row>
    <row r="3" spans="1:2" x14ac:dyDescent="0.25">
      <c r="A3" s="33" t="s">
        <v>85</v>
      </c>
      <c r="B3" s="29">
        <v>102773</v>
      </c>
    </row>
    <row r="4" spans="1:2" x14ac:dyDescent="0.25">
      <c r="A4" s="33" t="s">
        <v>124</v>
      </c>
      <c r="B4" s="29">
        <v>376182</v>
      </c>
    </row>
    <row r="5" spans="1:2" x14ac:dyDescent="0.25">
      <c r="A5" s="33" t="s">
        <v>1186</v>
      </c>
      <c r="B5" s="29">
        <v>1148843</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H15"/>
  <sheetViews>
    <sheetView workbookViewId="0">
      <selection activeCell="D22" sqref="D22"/>
    </sheetView>
  </sheetViews>
  <sheetFormatPr defaultRowHeight="15" x14ac:dyDescent="0.25"/>
  <cols>
    <col min="1" max="1" width="22.85546875" bestFit="1" customWidth="1"/>
    <col min="2" max="2" width="12.140625" bestFit="1" customWidth="1"/>
    <col min="8" max="8" width="71.5703125" bestFit="1" customWidth="1"/>
  </cols>
  <sheetData>
    <row r="4" spans="1:8" x14ac:dyDescent="0.25">
      <c r="A4" s="58" t="s">
        <v>1185</v>
      </c>
      <c r="B4" t="s">
        <v>1187</v>
      </c>
    </row>
    <row r="5" spans="1:8" x14ac:dyDescent="0.25">
      <c r="A5" s="33" t="s">
        <v>857</v>
      </c>
      <c r="B5" s="29">
        <v>105519</v>
      </c>
      <c r="H5" t="s">
        <v>1190</v>
      </c>
    </row>
    <row r="6" spans="1:8" x14ac:dyDescent="0.25">
      <c r="A6" s="33" t="s">
        <v>873</v>
      </c>
      <c r="B6" s="29">
        <v>108716</v>
      </c>
      <c r="H6" t="s">
        <v>1191</v>
      </c>
    </row>
    <row r="7" spans="1:8" x14ac:dyDescent="0.25">
      <c r="A7" s="33" t="s">
        <v>840</v>
      </c>
      <c r="B7" s="29">
        <v>56204</v>
      </c>
    </row>
    <row r="8" spans="1:8" x14ac:dyDescent="0.25">
      <c r="A8" s="33" t="s">
        <v>864</v>
      </c>
      <c r="B8" s="29">
        <v>55902</v>
      </c>
    </row>
    <row r="9" spans="1:8" x14ac:dyDescent="0.25">
      <c r="A9" s="33" t="s">
        <v>827</v>
      </c>
      <c r="B9" s="29">
        <v>277314</v>
      </c>
      <c r="H9" s="54" t="s">
        <v>1189</v>
      </c>
    </row>
    <row r="10" spans="1:8" x14ac:dyDescent="0.25">
      <c r="A10" s="33" t="s">
        <v>854</v>
      </c>
      <c r="B10" s="29">
        <v>217476</v>
      </c>
    </row>
    <row r="11" spans="1:8" x14ac:dyDescent="0.25">
      <c r="A11" s="33" t="s">
        <v>868</v>
      </c>
      <c r="B11" s="29">
        <v>54448</v>
      </c>
    </row>
    <row r="12" spans="1:8" x14ac:dyDescent="0.25">
      <c r="A12" s="33" t="s">
        <v>849</v>
      </c>
      <c r="B12" s="29">
        <v>46569</v>
      </c>
    </row>
    <row r="13" spans="1:8" x14ac:dyDescent="0.25">
      <c r="A13" s="33" t="s">
        <v>845</v>
      </c>
      <c r="B13" s="29">
        <v>53187</v>
      </c>
    </row>
    <row r="14" spans="1:8" x14ac:dyDescent="0.25">
      <c r="A14" s="33" t="s">
        <v>818</v>
      </c>
      <c r="B14" s="29">
        <v>173508</v>
      </c>
    </row>
    <row r="15" spans="1:8" x14ac:dyDescent="0.25">
      <c r="A15" s="33" t="s">
        <v>1186</v>
      </c>
      <c r="B15" s="29">
        <v>1148843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N13"/>
  <sheetViews>
    <sheetView workbookViewId="0">
      <selection activeCell="G18" sqref="G18"/>
    </sheetView>
  </sheetViews>
  <sheetFormatPr defaultRowHeight="15" x14ac:dyDescent="0.25"/>
  <cols>
    <col min="1" max="1" width="13.140625" customWidth="1"/>
    <col min="2" max="2" width="16.28515625" customWidth="1"/>
    <col min="3" max="3" width="6.140625" customWidth="1"/>
    <col min="4" max="4" width="7" customWidth="1"/>
    <col min="5" max="5" width="11.28515625" bestFit="1" customWidth="1"/>
    <col min="6" max="6" width="6.7109375" customWidth="1"/>
    <col min="7" max="8" width="6" customWidth="1"/>
    <col min="9" max="9" width="6.28515625" customWidth="1"/>
    <col min="10" max="10" width="6.140625" customWidth="1"/>
    <col min="11" max="11" width="6" customWidth="1"/>
    <col min="12" max="12" width="6.42578125" customWidth="1"/>
    <col min="13" max="13" width="6.140625" customWidth="1"/>
    <col min="14" max="14" width="11.28515625" customWidth="1"/>
    <col min="15" max="32" width="6.5703125" customWidth="1"/>
    <col min="33" max="33" width="6.140625" customWidth="1"/>
    <col min="34" max="41" width="6" customWidth="1"/>
    <col min="42" max="60" width="7" customWidth="1"/>
    <col min="61" max="61" width="6.42578125" customWidth="1"/>
    <col min="62" max="69" width="6.28515625" customWidth="1"/>
    <col min="70" max="91" width="7.28515625" customWidth="1"/>
    <col min="92" max="92" width="6" customWidth="1"/>
    <col min="93" max="100" width="5.85546875" customWidth="1"/>
    <col min="101" max="121" width="6.85546875" customWidth="1"/>
    <col min="122" max="122" width="6.7109375" customWidth="1"/>
    <col min="123" max="130" width="6.5703125" customWidth="1"/>
    <col min="131" max="152" width="7.5703125" customWidth="1"/>
    <col min="153" max="153" width="5.85546875" customWidth="1"/>
    <col min="154" max="161" width="5.7109375" customWidth="1"/>
    <col min="162" max="182" width="6.7109375" customWidth="1"/>
    <col min="183" max="183" width="5.28515625" customWidth="1"/>
    <col min="184" max="191" width="5.140625" customWidth="1"/>
    <col min="192" max="213" width="6.140625" customWidth="1"/>
    <col min="214" max="214" width="6.28515625" customWidth="1"/>
    <col min="215" max="222" width="6.140625" customWidth="1"/>
    <col min="223" max="244" width="7.140625" customWidth="1"/>
    <col min="245" max="245" width="6.140625" customWidth="1"/>
    <col min="246" max="253" width="6" customWidth="1"/>
    <col min="254" max="274" width="7" customWidth="1"/>
    <col min="275" max="275" width="5.85546875" customWidth="1"/>
    <col min="276" max="283" width="5.7109375" customWidth="1"/>
    <col min="284" max="305" width="6.7109375" customWidth="1"/>
    <col min="306" max="306" width="6.42578125" customWidth="1"/>
    <col min="307" max="314" width="6.28515625" customWidth="1"/>
    <col min="315" max="335" width="7.28515625" customWidth="1"/>
    <col min="336" max="336" width="6.140625" customWidth="1"/>
    <col min="337" max="344" width="6" customWidth="1"/>
    <col min="345" max="366" width="7" customWidth="1"/>
    <col min="367" max="367" width="11.28515625" bestFit="1" customWidth="1"/>
  </cols>
  <sheetData>
    <row r="3" spans="1:14" x14ac:dyDescent="0.25">
      <c r="A3" s="58" t="s">
        <v>1187</v>
      </c>
      <c r="B3" s="58" t="s">
        <v>1188</v>
      </c>
    </row>
    <row r="4" spans="1:14" x14ac:dyDescent="0.25">
      <c r="B4" t="s">
        <v>89</v>
      </c>
      <c r="C4" t="s">
        <v>1192</v>
      </c>
      <c r="D4" t="s">
        <v>1193</v>
      </c>
      <c r="E4" t="s">
        <v>1194</v>
      </c>
      <c r="F4" t="s">
        <v>1195</v>
      </c>
      <c r="G4" t="s">
        <v>1196</v>
      </c>
      <c r="H4" t="s">
        <v>1197</v>
      </c>
      <c r="I4" t="s">
        <v>1198</v>
      </c>
      <c r="J4" t="s">
        <v>1199</v>
      </c>
      <c r="K4" t="s">
        <v>1200</v>
      </c>
      <c r="L4" t="s">
        <v>1201</v>
      </c>
      <c r="M4" t="s">
        <v>1202</v>
      </c>
      <c r="N4" t="s">
        <v>1186</v>
      </c>
    </row>
    <row r="5" spans="1:14" x14ac:dyDescent="0.25">
      <c r="A5" s="58" t="s">
        <v>1185</v>
      </c>
    </row>
    <row r="6" spans="1:14" x14ac:dyDescent="0.25">
      <c r="A6" s="33" t="s">
        <v>817</v>
      </c>
      <c r="B6" s="29">
        <v>19878</v>
      </c>
      <c r="C6" s="29">
        <v>9040</v>
      </c>
      <c r="D6" s="29">
        <v>19878</v>
      </c>
      <c r="E6" s="29">
        <v>9040</v>
      </c>
      <c r="F6" s="29">
        <v>19878</v>
      </c>
      <c r="G6" s="29">
        <v>9040</v>
      </c>
      <c r="H6" s="29">
        <v>16123</v>
      </c>
      <c r="I6" s="29">
        <v>12795</v>
      </c>
      <c r="J6" s="29">
        <v>9390</v>
      </c>
      <c r="K6" s="29">
        <v>19528</v>
      </c>
      <c r="L6" s="29">
        <v>9390</v>
      </c>
      <c r="M6" s="29">
        <v>19528</v>
      </c>
      <c r="N6" s="29">
        <v>173508</v>
      </c>
    </row>
    <row r="7" spans="1:14" x14ac:dyDescent="0.25">
      <c r="A7" s="33" t="s">
        <v>872</v>
      </c>
      <c r="B7" s="29">
        <v>6452</v>
      </c>
      <c r="C7" s="29">
        <v>8936</v>
      </c>
      <c r="D7" s="29">
        <v>10298</v>
      </c>
      <c r="E7" s="29">
        <v>6094</v>
      </c>
      <c r="F7" s="29">
        <v>13140</v>
      </c>
      <c r="G7" s="29">
        <v>6094</v>
      </c>
      <c r="H7" s="29">
        <v>13140</v>
      </c>
      <c r="I7" s="29">
        <v>6094</v>
      </c>
      <c r="J7" s="29">
        <v>13140</v>
      </c>
      <c r="K7" s="29">
        <v>6094</v>
      </c>
      <c r="L7" s="29">
        <v>13140</v>
      </c>
      <c r="M7" s="29">
        <v>6094</v>
      </c>
      <c r="N7" s="29">
        <v>108716</v>
      </c>
    </row>
    <row r="8" spans="1:14" x14ac:dyDescent="0.25">
      <c r="A8" s="33" t="s">
        <v>839</v>
      </c>
      <c r="B8" s="29">
        <v>10055</v>
      </c>
      <c r="C8" s="29">
        <v>7913</v>
      </c>
      <c r="D8" s="29">
        <v>6542</v>
      </c>
      <c r="E8" s="29">
        <v>11426</v>
      </c>
      <c r="F8" s="29">
        <v>6542</v>
      </c>
      <c r="G8" s="29">
        <v>11426</v>
      </c>
      <c r="H8" s="29">
        <v>6542</v>
      </c>
      <c r="I8" s="29">
        <v>11426</v>
      </c>
      <c r="J8" s="29">
        <v>6542</v>
      </c>
      <c r="K8" s="29">
        <v>8525</v>
      </c>
      <c r="L8" s="29">
        <v>9443</v>
      </c>
      <c r="M8" s="29">
        <v>6391</v>
      </c>
      <c r="N8" s="29">
        <v>102773</v>
      </c>
    </row>
    <row r="9" spans="1:14" x14ac:dyDescent="0.25">
      <c r="A9" s="33" t="s">
        <v>863</v>
      </c>
      <c r="B9" s="29">
        <v>3263</v>
      </c>
      <c r="C9" s="29">
        <v>6635</v>
      </c>
      <c r="D9" s="29">
        <v>3263</v>
      </c>
      <c r="E9" s="29">
        <v>6635</v>
      </c>
      <c r="F9" s="29">
        <v>3263</v>
      </c>
      <c r="G9" s="29">
        <v>3149</v>
      </c>
      <c r="H9" s="29">
        <v>6749</v>
      </c>
      <c r="I9" s="29">
        <v>3149</v>
      </c>
      <c r="J9" s="29">
        <v>6749</v>
      </c>
      <c r="K9" s="29">
        <v>3149</v>
      </c>
      <c r="L9" s="29">
        <v>6749</v>
      </c>
      <c r="M9" s="29">
        <v>3149</v>
      </c>
      <c r="N9" s="29">
        <v>55902</v>
      </c>
    </row>
    <row r="10" spans="1:14" x14ac:dyDescent="0.25">
      <c r="A10" s="33" t="s">
        <v>826</v>
      </c>
      <c r="B10" s="29">
        <v>33241</v>
      </c>
      <c r="C10" s="29">
        <v>22623</v>
      </c>
      <c r="D10" s="29">
        <v>28126</v>
      </c>
      <c r="E10" s="29">
        <v>24316</v>
      </c>
      <c r="F10" s="29">
        <v>23848</v>
      </c>
      <c r="G10" s="29">
        <v>32016</v>
      </c>
      <c r="H10" s="29">
        <v>20633</v>
      </c>
      <c r="I10" s="29">
        <v>35231</v>
      </c>
      <c r="J10" s="29">
        <v>20633</v>
      </c>
      <c r="K10" s="29">
        <v>35231</v>
      </c>
      <c r="L10" s="29">
        <v>20633</v>
      </c>
      <c r="M10" s="29">
        <v>35231</v>
      </c>
      <c r="N10" s="29">
        <v>331762</v>
      </c>
    </row>
    <row r="11" spans="1:14" x14ac:dyDescent="0.25">
      <c r="A11" s="33" t="s">
        <v>853</v>
      </c>
      <c r="B11" s="29">
        <v>17267</v>
      </c>
      <c r="C11" s="29">
        <v>28754</v>
      </c>
      <c r="D11" s="29">
        <v>28585</v>
      </c>
      <c r="E11" s="29">
        <v>28754</v>
      </c>
      <c r="F11" s="29">
        <v>28585</v>
      </c>
      <c r="G11" s="29">
        <v>25952</v>
      </c>
      <c r="H11" s="29">
        <v>31387</v>
      </c>
      <c r="I11" s="29">
        <v>22817</v>
      </c>
      <c r="J11" s="29">
        <v>34522</v>
      </c>
      <c r="K11" s="29">
        <v>19033</v>
      </c>
      <c r="L11" s="29">
        <v>33234</v>
      </c>
      <c r="M11" s="29">
        <v>24105</v>
      </c>
      <c r="N11" s="29">
        <v>322995</v>
      </c>
    </row>
    <row r="12" spans="1:14" x14ac:dyDescent="0.25">
      <c r="A12" s="33" t="s">
        <v>844</v>
      </c>
      <c r="B12" s="29">
        <v>6647</v>
      </c>
      <c r="C12" s="29">
        <v>2661</v>
      </c>
      <c r="D12" s="29">
        <v>4400</v>
      </c>
      <c r="E12" s="29">
        <v>4908</v>
      </c>
      <c r="F12" s="29">
        <v>4400</v>
      </c>
      <c r="G12" s="29">
        <v>4908</v>
      </c>
      <c r="H12" s="29">
        <v>4400</v>
      </c>
      <c r="I12" s="29">
        <v>4908</v>
      </c>
      <c r="J12" s="29">
        <v>4400</v>
      </c>
      <c r="K12" s="29">
        <v>4908</v>
      </c>
      <c r="L12" s="29">
        <v>4400</v>
      </c>
      <c r="M12" s="29">
        <v>2247</v>
      </c>
      <c r="N12" s="29">
        <v>53187</v>
      </c>
    </row>
    <row r="13" spans="1:14" x14ac:dyDescent="0.25">
      <c r="A13" s="33" t="s">
        <v>1186</v>
      </c>
      <c r="B13" s="29">
        <v>96803</v>
      </c>
      <c r="C13" s="29">
        <v>86562</v>
      </c>
      <c r="D13" s="29">
        <v>101092</v>
      </c>
      <c r="E13" s="29">
        <v>91173</v>
      </c>
      <c r="F13" s="29">
        <v>99656</v>
      </c>
      <c r="G13" s="29">
        <v>92585</v>
      </c>
      <c r="H13" s="29">
        <v>98974</v>
      </c>
      <c r="I13" s="29">
        <v>96420</v>
      </c>
      <c r="J13" s="29">
        <v>95376</v>
      </c>
      <c r="K13" s="29">
        <v>96468</v>
      </c>
      <c r="L13" s="29">
        <v>96989</v>
      </c>
      <c r="M13" s="29">
        <v>96745</v>
      </c>
      <c r="N13" s="29">
        <v>1148843</v>
      </c>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SHORTCUT KEYS</vt:lpstr>
      <vt:lpstr>Basic Calculation 1</vt:lpstr>
      <vt:lpstr>Basic Calculation 2</vt:lpstr>
      <vt:lpstr>TEXT</vt:lpstr>
      <vt:lpstr>Number Format</vt:lpstr>
      <vt:lpstr>Conditional Statement</vt:lpstr>
      <vt:lpstr>Conditional Formatting 1</vt:lpstr>
      <vt:lpstr>Conditional Formatting 2</vt:lpstr>
      <vt:lpstr>Sort &amp; Filter</vt:lpstr>
      <vt:lpstr>Data Validation</vt:lpstr>
      <vt:lpstr>Pivot Table Data</vt:lpstr>
      <vt:lpstr>Pivot Chart</vt:lpstr>
      <vt:lpstr>Slicer</vt:lpstr>
      <vt:lpstr>Timeline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 Chandra Joshi</dc:creator>
  <cp:lastModifiedBy>Dell</cp:lastModifiedBy>
  <dcterms:created xsi:type="dcterms:W3CDTF">2026-06-17T05:12:32Z</dcterms:created>
  <dcterms:modified xsi:type="dcterms:W3CDTF">2026-08-21T00:03:22Z</dcterms:modified>
</cp:coreProperties>
</file>
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\Documents\WFM\RTM\"/>
    </mc:Choice>
  </mc:AlternateContent>
  <xr:revisionPtr revIDLastSave="0" documentId="8_{D8B0504C-B6C5-4A3F-B5C1-5D42A5CFD59D}" xr6:coauthVersionLast="47" xr6:coauthVersionMax="47" xr10:uidLastSave="{00000000-0000-0000-0000-000000000000}"/>
  <bookViews>
    <workbookView xWindow="-120" yWindow="-120" windowWidth="20730" windowHeight="11160" tabRatio="888" firstSheet="11" activeTab="17" xr2:uid="{8B189880-DB58-4495-8743-951DA1CC17AD}"/>
  </bookViews>
  <sheets>
    <sheet name="Math Formula1 and 2" sheetId="1" r:id="rId1"/>
    <sheet name="Text Formulas" sheetId="2" r:id="rId2"/>
    <sheet name="Logical" sheetId="3" r:id="rId3"/>
    <sheet name="Date" sheetId="4" r:id="rId4"/>
    <sheet name="Vlookup" sheetId="5" r:id="rId5"/>
    <sheet name="Hlookup" sheetId="6" r:id="rId6"/>
    <sheet name="Hlookup + Match" sheetId="7" r:id="rId7"/>
    <sheet name="Index + Match" sheetId="9" r:id="rId8"/>
    <sheet name="Xlookup" sheetId="10" r:id="rId9"/>
    <sheet name="Text2Column" sheetId="11" r:id="rId10"/>
    <sheet name="Flashfill" sheetId="12" r:id="rId11"/>
    <sheet name="Remove Duplicates" sheetId="13" r:id="rId12"/>
    <sheet name="Data Validations" sheetId="14" r:id="rId13"/>
    <sheet name="file_example_XLSX_Text" sheetId="15" r:id="rId14"/>
    <sheet name="file_example_XLSX_100_CSV" sheetId="16" r:id="rId15"/>
    <sheet name="Formatting Data" sheetId="17" r:id="rId16"/>
    <sheet name="Formatting table" sheetId="18" r:id="rId17"/>
    <sheet name="Pivot Table" sheetId="19" r:id="rId18"/>
  </sheet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0" l="1"/>
  <c r="F42" i="10"/>
  <c r="E42" i="10"/>
  <c r="G35" i="10"/>
  <c r="G34" i="10"/>
  <c r="G33" i="10"/>
  <c r="G32" i="10"/>
  <c r="G31" i="10"/>
  <c r="G30" i="10"/>
  <c r="G23" i="10"/>
  <c r="G22" i="10"/>
  <c r="G21" i="10"/>
  <c r="G20" i="10"/>
  <c r="G19" i="10"/>
  <c r="G18" i="10"/>
  <c r="G4" i="10"/>
  <c r="F9" i="9"/>
  <c r="E9" i="9"/>
  <c r="D9" i="9"/>
  <c r="C9" i="9"/>
  <c r="B9" i="9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B13" i="6"/>
  <c r="B12" i="6"/>
  <c r="B11" i="6"/>
  <c r="B10" i="6"/>
  <c r="B9" i="6"/>
  <c r="C8" i="5"/>
  <c r="C7" i="5"/>
  <c r="C6" i="5"/>
  <c r="C5" i="5"/>
  <c r="C4" i="5"/>
  <c r="C3" i="5"/>
  <c r="G13" i="3"/>
  <c r="F13" i="3"/>
  <c r="L12" i="3"/>
  <c r="G12" i="3"/>
  <c r="F12" i="3"/>
  <c r="L11" i="3"/>
  <c r="G11" i="3"/>
  <c r="F11" i="3"/>
  <c r="L10" i="3"/>
  <c r="G10" i="3"/>
  <c r="F10" i="3"/>
  <c r="L9" i="3"/>
  <c r="G9" i="3"/>
  <c r="F9" i="3"/>
  <c r="L8" i="3"/>
  <c r="G8" i="3"/>
  <c r="F8" i="3"/>
  <c r="L7" i="3"/>
  <c r="G7" i="3"/>
  <c r="F7" i="3"/>
  <c r="L6" i="3"/>
  <c r="G6" i="3"/>
  <c r="F6" i="3"/>
  <c r="L5" i="3"/>
  <c r="G5" i="3"/>
  <c r="F5" i="3"/>
  <c r="L4" i="3"/>
  <c r="G4" i="3"/>
  <c r="F4" i="3"/>
  <c r="M16" i="2"/>
  <c r="M15" i="2"/>
  <c r="C15" i="2"/>
  <c r="M14" i="2"/>
  <c r="C14" i="2"/>
  <c r="M13" i="2"/>
  <c r="C13" i="2"/>
  <c r="M12" i="2"/>
  <c r="C12" i="2"/>
  <c r="M11" i="2"/>
  <c r="M10" i="2"/>
  <c r="I10" i="2"/>
  <c r="M9" i="2"/>
  <c r="I9" i="2"/>
  <c r="M8" i="2"/>
  <c r="M7" i="2"/>
  <c r="I6" i="2"/>
  <c r="I5" i="2"/>
  <c r="G18" i="1"/>
  <c r="G17" i="1"/>
  <c r="G16" i="1"/>
  <c r="G14" i="1"/>
  <c r="N13" i="1"/>
  <c r="G13" i="1"/>
  <c r="N12" i="1"/>
  <c r="J12" i="1"/>
  <c r="N11" i="1"/>
  <c r="G11" i="1"/>
  <c r="N10" i="1"/>
  <c r="G10" i="1"/>
  <c r="G9" i="1"/>
</calcChain>
</file>

<file path=xl/sharedStrings.xml><?xml version="1.0" encoding="utf-8"?>
<sst xmlns="http://schemas.openxmlformats.org/spreadsheetml/2006/main" count="2386" uniqueCount="515">
  <si>
    <t>Maths Formulas 1</t>
  </si>
  <si>
    <t>Maths Formulas 2</t>
  </si>
  <si>
    <t>SUM</t>
  </si>
  <si>
    <t>COUNTA</t>
  </si>
  <si>
    <t>Average</t>
  </si>
  <si>
    <t>COUNTIF</t>
  </si>
  <si>
    <t>AverageIF</t>
  </si>
  <si>
    <t>MOD</t>
  </si>
  <si>
    <t>ROUND</t>
  </si>
  <si>
    <t>Employee Data</t>
  </si>
  <si>
    <t>EMP Name</t>
  </si>
  <si>
    <t>Gender</t>
  </si>
  <si>
    <t>Sale Qty</t>
  </si>
  <si>
    <t>Salary</t>
  </si>
  <si>
    <t>Alice</t>
  </si>
  <si>
    <t>F</t>
  </si>
  <si>
    <t>Total Sale Qty</t>
  </si>
  <si>
    <t>Teams</t>
  </si>
  <si>
    <t>Sales</t>
  </si>
  <si>
    <t>Round</t>
  </si>
  <si>
    <t>John</t>
  </si>
  <si>
    <t>M</t>
  </si>
  <si>
    <t>Total Salary</t>
  </si>
  <si>
    <t>Number</t>
  </si>
  <si>
    <t>TeamA</t>
  </si>
  <si>
    <t>Mary</t>
  </si>
  <si>
    <t>Average Salary</t>
  </si>
  <si>
    <t>disvisor</t>
  </si>
  <si>
    <t>TeamB</t>
  </si>
  <si>
    <t>Lenna</t>
  </si>
  <si>
    <t>reminder</t>
  </si>
  <si>
    <t>TeamC</t>
  </si>
  <si>
    <t>Krish</t>
  </si>
  <si>
    <t>Average Salary of (M)</t>
  </si>
  <si>
    <t>TeamD</t>
  </si>
  <si>
    <t>Perry</t>
  </si>
  <si>
    <t>Average Salary of (F)</t>
  </si>
  <si>
    <t>Bindu</t>
  </si>
  <si>
    <t>Ayesha</t>
  </si>
  <si>
    <t>No. of Employees</t>
  </si>
  <si>
    <t>Smith</t>
  </si>
  <si>
    <t>No of Employees - M</t>
  </si>
  <si>
    <t>Bob</t>
  </si>
  <si>
    <t>No of Employees - F</t>
  </si>
  <si>
    <t>Text Formulas</t>
  </si>
  <si>
    <t>LEFT</t>
  </si>
  <si>
    <t>RIGHT</t>
  </si>
  <si>
    <t>MID</t>
  </si>
  <si>
    <t>Join cells</t>
  </si>
  <si>
    <t>Class 2</t>
  </si>
  <si>
    <t>Table A</t>
  </si>
  <si>
    <t>Employee ID</t>
  </si>
  <si>
    <t>Employee Name</t>
  </si>
  <si>
    <t>Employee Salary</t>
  </si>
  <si>
    <t>Mary Alice</t>
  </si>
  <si>
    <t>Replace</t>
  </si>
  <si>
    <t>LEN function</t>
  </si>
  <si>
    <t>John Perry</t>
  </si>
  <si>
    <t>Data</t>
  </si>
  <si>
    <t>Output</t>
  </si>
  <si>
    <t>description</t>
  </si>
  <si>
    <t>Pradyumna</t>
  </si>
  <si>
    <t>Apple</t>
  </si>
  <si>
    <t>5 characters</t>
  </si>
  <si>
    <t>Rajesh Hed</t>
  </si>
  <si>
    <t xml:space="preserve">Apple </t>
  </si>
  <si>
    <t>6 Characters hidden character space included</t>
  </si>
  <si>
    <t>Krish Prem</t>
  </si>
  <si>
    <t>Lower case</t>
  </si>
  <si>
    <t>APPLE</t>
  </si>
  <si>
    <t>does'nt matter of case</t>
  </si>
  <si>
    <t>Paul Mojo</t>
  </si>
  <si>
    <t>Upper case</t>
  </si>
  <si>
    <t>apple</t>
  </si>
  <si>
    <t>Apple, Fruit</t>
  </si>
  <si>
    <t>space and comma included</t>
  </si>
  <si>
    <t>Left formula</t>
  </si>
  <si>
    <t>empty is zero</t>
  </si>
  <si>
    <t>Right formula</t>
  </si>
  <si>
    <t>4 charcaters</t>
  </si>
  <si>
    <t>Middle</t>
  </si>
  <si>
    <t>$2000.00</t>
  </si>
  <si>
    <t>Join Cells</t>
  </si>
  <si>
    <t>negitive character will counts</t>
  </si>
  <si>
    <t>Logical</t>
  </si>
  <si>
    <t>AND</t>
  </si>
  <si>
    <t>OR</t>
  </si>
  <si>
    <t>XOR</t>
  </si>
  <si>
    <t>AND result</t>
  </si>
  <si>
    <t>OR result</t>
  </si>
  <si>
    <t>Team Name</t>
  </si>
  <si>
    <t>Level1 status</t>
  </si>
  <si>
    <t>Level2 status</t>
  </si>
  <si>
    <t>Level3 status</t>
  </si>
  <si>
    <t>is Team Winner</t>
  </si>
  <si>
    <t xml:space="preserve">    Name</t>
  </si>
  <si>
    <t>Type 1</t>
  </si>
  <si>
    <t>HP</t>
  </si>
  <si>
    <t>EITHER Fire Type OR less than 60 HP</t>
  </si>
  <si>
    <t>Team1</t>
  </si>
  <si>
    <t>Yes</t>
  </si>
  <si>
    <t>No</t>
  </si>
  <si>
    <t xml:space="preserve">    Bulbasaur</t>
  </si>
  <si>
    <t>Grass</t>
  </si>
  <si>
    <t>Team2</t>
  </si>
  <si>
    <t xml:space="preserve">    Ivysaur</t>
  </si>
  <si>
    <t>Team3</t>
  </si>
  <si>
    <t xml:space="preserve">    Venusaur</t>
  </si>
  <si>
    <t>Team4</t>
  </si>
  <si>
    <t xml:space="preserve">    Charmander</t>
  </si>
  <si>
    <t>Fire</t>
  </si>
  <si>
    <t>Team5</t>
  </si>
  <si>
    <t xml:space="preserve">    Charmeleon</t>
  </si>
  <si>
    <t>Team6</t>
  </si>
  <si>
    <t xml:space="preserve">    Charizard</t>
  </si>
  <si>
    <t>Team7</t>
  </si>
  <si>
    <t xml:space="preserve">    Squirtle</t>
  </si>
  <si>
    <t>Water</t>
  </si>
  <si>
    <t>Team8</t>
  </si>
  <si>
    <t xml:space="preserve">    Wartortle</t>
  </si>
  <si>
    <t>Team9</t>
  </si>
  <si>
    <t xml:space="preserve">    Blastoise</t>
  </si>
  <si>
    <t>Team10</t>
  </si>
  <si>
    <t xml:space="preserve">    </t>
  </si>
  <si>
    <t>Date Format</t>
  </si>
  <si>
    <t>Date</t>
  </si>
  <si>
    <t>Table B</t>
  </si>
  <si>
    <t>Hlookup</t>
  </si>
  <si>
    <t>Master Data</t>
  </si>
  <si>
    <t>Emp ID</t>
  </si>
  <si>
    <t>Emp Name</t>
  </si>
  <si>
    <t>Ahmed</t>
  </si>
  <si>
    <t>Department</t>
  </si>
  <si>
    <t>IT</t>
  </si>
  <si>
    <t>Marketing</t>
  </si>
  <si>
    <t>HR</t>
  </si>
  <si>
    <t>Xlookup</t>
  </si>
  <si>
    <t>Country</t>
  </si>
  <si>
    <t>Abr</t>
  </si>
  <si>
    <t>Prefix Dail</t>
  </si>
  <si>
    <t>What is the dail code for this country?</t>
  </si>
  <si>
    <t>China</t>
  </si>
  <si>
    <t>CN</t>
  </si>
  <si>
    <t>+86</t>
  </si>
  <si>
    <t>Mexico</t>
  </si>
  <si>
    <t>United States</t>
  </si>
  <si>
    <t>US</t>
  </si>
  <si>
    <t>+1</t>
  </si>
  <si>
    <t>Indonesia</t>
  </si>
  <si>
    <t>ID</t>
  </si>
  <si>
    <t>+62</t>
  </si>
  <si>
    <t>India</t>
  </si>
  <si>
    <t>IN</t>
  </si>
  <si>
    <t>+91</t>
  </si>
  <si>
    <t>Brazil</t>
  </si>
  <si>
    <t>BR</t>
  </si>
  <si>
    <t>+55</t>
  </si>
  <si>
    <t>Pakistan</t>
  </si>
  <si>
    <t>PK</t>
  </si>
  <si>
    <t>+92</t>
  </si>
  <si>
    <t>Nageria</t>
  </si>
  <si>
    <t>NG</t>
  </si>
  <si>
    <t>+234</t>
  </si>
  <si>
    <t>Russia</t>
  </si>
  <si>
    <t>RU</t>
  </si>
  <si>
    <t>+7</t>
  </si>
  <si>
    <t>MX</t>
  </si>
  <si>
    <t>+52</t>
  </si>
  <si>
    <t>Xlookup Handling #NA Errors</t>
  </si>
  <si>
    <t>XLOOKUP Formula applied</t>
  </si>
  <si>
    <t>Score</t>
  </si>
  <si>
    <t>Grade</t>
  </si>
  <si>
    <t>Student</t>
  </si>
  <si>
    <t>A</t>
  </si>
  <si>
    <t>=XLOOKUP(F18,$B$18:$B$23,$C$18:$C$23)</t>
  </si>
  <si>
    <t>B</t>
  </si>
  <si>
    <t>C</t>
  </si>
  <si>
    <t>D</t>
  </si>
  <si>
    <t>Surya</t>
  </si>
  <si>
    <t>E</t>
  </si>
  <si>
    <t>Karan</t>
  </si>
  <si>
    <t>Sonia</t>
  </si>
  <si>
    <t>Approximate match Xlookup</t>
  </si>
  <si>
    <t>Wildcard character (*)</t>
  </si>
  <si>
    <t>Model</t>
  </si>
  <si>
    <t>Battery</t>
  </si>
  <si>
    <t>Samsung Pro</t>
  </si>
  <si>
    <t>Apple iPhone 12</t>
  </si>
  <si>
    <t>Apple iPhone X</t>
  </si>
  <si>
    <t>Samsung Note</t>
  </si>
  <si>
    <t>Formula</t>
  </si>
  <si>
    <t>=XLOOKUP("*" &amp;E41&amp; "*",A42:A48,B42:B48, ,2)</t>
  </si>
  <si>
    <t>Realmi X</t>
  </si>
  <si>
    <t>Realme XT</t>
  </si>
  <si>
    <t>Oneplus Pro</t>
  </si>
  <si>
    <t>Full Name</t>
  </si>
  <si>
    <t>Last Name</t>
  </si>
  <si>
    <t>First Name</t>
  </si>
  <si>
    <t>Pradyumna Ruks</t>
  </si>
  <si>
    <t>Ruks</t>
  </si>
  <si>
    <t>Rajesh</t>
  </si>
  <si>
    <t>Hed</t>
  </si>
  <si>
    <t>Prem</t>
  </si>
  <si>
    <t>Paul</t>
  </si>
  <si>
    <t>Mojo</t>
  </si>
  <si>
    <t>Satya Vikas</t>
  </si>
  <si>
    <t>Satya</t>
  </si>
  <si>
    <t>Vikas</t>
  </si>
  <si>
    <t>Sony Sena</t>
  </si>
  <si>
    <t>Sony</t>
  </si>
  <si>
    <t>Sena</t>
  </si>
  <si>
    <t>Revathi Rubella</t>
  </si>
  <si>
    <t>Revathi</t>
  </si>
  <si>
    <t>Rubella</t>
  </si>
  <si>
    <t xml:space="preserve">Flash Fill </t>
  </si>
  <si>
    <t>Numbers</t>
  </si>
  <si>
    <t>Product ID</t>
  </si>
  <si>
    <t>First 4 digits</t>
  </si>
  <si>
    <t>Middle 3 digits</t>
  </si>
  <si>
    <t>Last 4 digits</t>
  </si>
  <si>
    <t>1001-101-3434</t>
  </si>
  <si>
    <t>1002-102-3435</t>
  </si>
  <si>
    <t>1003-103-3436</t>
  </si>
  <si>
    <t>1004-104-3437</t>
  </si>
  <si>
    <t>1005-105-3438</t>
  </si>
  <si>
    <t>1006-106-3439</t>
  </si>
  <si>
    <t>1007-107-3440</t>
  </si>
  <si>
    <t>1008-108-3441</t>
  </si>
  <si>
    <t>1009-109-3442</t>
  </si>
  <si>
    <t>1010-110-3443</t>
  </si>
  <si>
    <t>Text</t>
  </si>
  <si>
    <t>Months</t>
  </si>
  <si>
    <t>First Alphabet</t>
  </si>
  <si>
    <t>First Two Alphabets</t>
  </si>
  <si>
    <t>Last Two Alphabets</t>
  </si>
  <si>
    <t>January</t>
  </si>
  <si>
    <t>J</t>
  </si>
  <si>
    <t>Ja</t>
  </si>
  <si>
    <t>ry</t>
  </si>
  <si>
    <t>February</t>
  </si>
  <si>
    <t>Fe</t>
  </si>
  <si>
    <t>March</t>
  </si>
  <si>
    <t>Ma</t>
  </si>
  <si>
    <t>ch</t>
  </si>
  <si>
    <t>April</t>
  </si>
  <si>
    <t>Ap</t>
  </si>
  <si>
    <t>il</t>
  </si>
  <si>
    <t>May</t>
  </si>
  <si>
    <t>ay</t>
  </si>
  <si>
    <t>June</t>
  </si>
  <si>
    <t>Ju</t>
  </si>
  <si>
    <t>ne</t>
  </si>
  <si>
    <t>July</t>
  </si>
  <si>
    <t>ly</t>
  </si>
  <si>
    <t>August</t>
  </si>
  <si>
    <t>Au</t>
  </si>
  <si>
    <t>st</t>
  </si>
  <si>
    <t>September</t>
  </si>
  <si>
    <t>S</t>
  </si>
  <si>
    <t>Se</t>
  </si>
  <si>
    <t>er</t>
  </si>
  <si>
    <t>October</t>
  </si>
  <si>
    <t>O</t>
  </si>
  <si>
    <t>Oc</t>
  </si>
  <si>
    <t>November</t>
  </si>
  <si>
    <t>N</t>
  </si>
  <si>
    <t>December</t>
  </si>
  <si>
    <t>De</t>
  </si>
  <si>
    <t>Concatenation of First Name and Last Name</t>
  </si>
  <si>
    <t>Mary-Alice</t>
  </si>
  <si>
    <t>John-Perry</t>
  </si>
  <si>
    <t>Pradyumna-Ruks</t>
  </si>
  <si>
    <t>also we can use to apply concatenation function where as</t>
  </si>
  <si>
    <t>Rajesh-Hed</t>
  </si>
  <si>
    <t>another simple technique is train excel and press Ctril+E</t>
  </si>
  <si>
    <t>Krish-Prem</t>
  </si>
  <si>
    <t>Paul-Mojo</t>
  </si>
  <si>
    <t>Satya-Vikas</t>
  </si>
  <si>
    <t>Sony-Sena</t>
  </si>
  <si>
    <t>Revathi-Rubella</t>
  </si>
  <si>
    <t>Product</t>
  </si>
  <si>
    <t>Officer Name</t>
  </si>
  <si>
    <t>Contact</t>
  </si>
  <si>
    <t>Manager Sales</t>
  </si>
  <si>
    <t>Laptop</t>
  </si>
  <si>
    <t>Dulce</t>
  </si>
  <si>
    <t>Mobile</t>
  </si>
  <si>
    <t>Mara</t>
  </si>
  <si>
    <t>Telivision</t>
  </si>
  <si>
    <t>Philip</t>
  </si>
  <si>
    <t>Movie ticket</t>
  </si>
  <si>
    <t>Kathleen</t>
  </si>
  <si>
    <t>Printer</t>
  </si>
  <si>
    <t>Executive</t>
  </si>
  <si>
    <t>Computer</t>
  </si>
  <si>
    <t>Operator</t>
  </si>
  <si>
    <t>Furniture</t>
  </si>
  <si>
    <t>Nereida</t>
  </si>
  <si>
    <t>Data Validation</t>
  </si>
  <si>
    <t>Rating</t>
  </si>
  <si>
    <t>Phone</t>
  </si>
  <si>
    <t>Tv</t>
  </si>
  <si>
    <t>Table</t>
  </si>
  <si>
    <t>Digital</t>
  </si>
  <si>
    <t>Sr No.</t>
  </si>
  <si>
    <t>Age</t>
  </si>
  <si>
    <t>Id</t>
  </si>
  <si>
    <t>Abril</t>
  </si>
  <si>
    <t>Female</t>
  </si>
  <si>
    <t>32</t>
  </si>
  <si>
    <t>15-10-2017</t>
  </si>
  <si>
    <t>1562</t>
  </si>
  <si>
    <t>Hashimoto</t>
  </si>
  <si>
    <t>Great Britain</t>
  </si>
  <si>
    <t>25</t>
  </si>
  <si>
    <t>16-08-2016</t>
  </si>
  <si>
    <t>1582</t>
  </si>
  <si>
    <t>Gent</t>
  </si>
  <si>
    <t>Male</t>
  </si>
  <si>
    <t>France</t>
  </si>
  <si>
    <t>36</t>
  </si>
  <si>
    <t>21-05-2015</t>
  </si>
  <si>
    <t>2587</t>
  </si>
  <si>
    <t>Hanner</t>
  </si>
  <si>
    <t>3549</t>
  </si>
  <si>
    <t>Magwood</t>
  </si>
  <si>
    <t>58</t>
  </si>
  <si>
    <t>2468</t>
  </si>
  <si>
    <t>Gaston</t>
  </si>
  <si>
    <t>Brumm</t>
  </si>
  <si>
    <t>24</t>
  </si>
  <si>
    <t>2554</t>
  </si>
  <si>
    <t>Etta</t>
  </si>
  <si>
    <t>Hurn</t>
  </si>
  <si>
    <t>56</t>
  </si>
  <si>
    <t>3598</t>
  </si>
  <si>
    <t>Earlean</t>
  </si>
  <si>
    <t>Melgar</t>
  </si>
  <si>
    <t>27</t>
  </si>
  <si>
    <t>2456</t>
  </si>
  <si>
    <t>Vincenza</t>
  </si>
  <si>
    <t>Weiland</t>
  </si>
  <si>
    <t>40</t>
  </si>
  <si>
    <t>6548</t>
  </si>
  <si>
    <t>Fallon</t>
  </si>
  <si>
    <t>Winward</t>
  </si>
  <si>
    <t>28</t>
  </si>
  <si>
    <t>5486</t>
  </si>
  <si>
    <t>Arcelia</t>
  </si>
  <si>
    <t>Bouska</t>
  </si>
  <si>
    <t>39</t>
  </si>
  <si>
    <t>1258</t>
  </si>
  <si>
    <t>Franklyn</t>
  </si>
  <si>
    <t>Unknow</t>
  </si>
  <si>
    <t>38</t>
  </si>
  <si>
    <t>2579</t>
  </si>
  <si>
    <t>Sherron</t>
  </si>
  <si>
    <t>Ascencio</t>
  </si>
  <si>
    <t>3256</t>
  </si>
  <si>
    <t>Marcel</t>
  </si>
  <si>
    <t>Zabriskie</t>
  </si>
  <si>
    <t>26</t>
  </si>
  <si>
    <t>Kina</t>
  </si>
  <si>
    <t>Hazelton</t>
  </si>
  <si>
    <t>31</t>
  </si>
  <si>
    <t>3259</t>
  </si>
  <si>
    <t>Shavonne</t>
  </si>
  <si>
    <t>Pia</t>
  </si>
  <si>
    <t>1546</t>
  </si>
  <si>
    <t>Shavon</t>
  </si>
  <si>
    <t>Benito</t>
  </si>
  <si>
    <t>3579</t>
  </si>
  <si>
    <t>Lauralee</t>
  </si>
  <si>
    <t>Perrine</t>
  </si>
  <si>
    <t>6597</t>
  </si>
  <si>
    <t>Loreta</t>
  </si>
  <si>
    <t>Curren</t>
  </si>
  <si>
    <t>9654</t>
  </si>
  <si>
    <t>Teresa</t>
  </si>
  <si>
    <t>Strawn</t>
  </si>
  <si>
    <t>46</t>
  </si>
  <si>
    <t>3569</t>
  </si>
  <si>
    <t>Belinda</t>
  </si>
  <si>
    <t>Partain</t>
  </si>
  <si>
    <t>37</t>
  </si>
  <si>
    <t>2564</t>
  </si>
  <si>
    <t>Holly</t>
  </si>
  <si>
    <t>Eudy</t>
  </si>
  <si>
    <t>52</t>
  </si>
  <si>
    <t>8561</t>
  </si>
  <si>
    <t>Many</t>
  </si>
  <si>
    <t>Cuccia</t>
  </si>
  <si>
    <t>5489</t>
  </si>
  <si>
    <t>Libbie</t>
  </si>
  <si>
    <t>Dalby</t>
  </si>
  <si>
    <t>42</t>
  </si>
  <si>
    <t>Lester</t>
  </si>
  <si>
    <t>Prothro</t>
  </si>
  <si>
    <t>21</t>
  </si>
  <si>
    <t>6574</t>
  </si>
  <si>
    <t>Marvel</t>
  </si>
  <si>
    <t>Hail</t>
  </si>
  <si>
    <t>5555</t>
  </si>
  <si>
    <t>Angelyn</t>
  </si>
  <si>
    <t>Vong</t>
  </si>
  <si>
    <t>29</t>
  </si>
  <si>
    <t>6125</t>
  </si>
  <si>
    <t>Francesca</t>
  </si>
  <si>
    <t>Beaudreau</t>
  </si>
  <si>
    <t>23</t>
  </si>
  <si>
    <t>5412</t>
  </si>
  <si>
    <t>Garth</t>
  </si>
  <si>
    <t>Gangi</t>
  </si>
  <si>
    <t>41</t>
  </si>
  <si>
    <t>Carla</t>
  </si>
  <si>
    <t>Trumbull</t>
  </si>
  <si>
    <t>3264</t>
  </si>
  <si>
    <t>Veta</t>
  </si>
  <si>
    <t>Muntz</t>
  </si>
  <si>
    <t>4569</t>
  </si>
  <si>
    <t>Stasia</t>
  </si>
  <si>
    <t>Becker</t>
  </si>
  <si>
    <t>34</t>
  </si>
  <si>
    <t>7521</t>
  </si>
  <si>
    <t>Jona</t>
  </si>
  <si>
    <t>Grindle</t>
  </si>
  <si>
    <t>6458</t>
  </si>
  <si>
    <t>Judie</t>
  </si>
  <si>
    <t>Claywell</t>
  </si>
  <si>
    <t>35</t>
  </si>
  <si>
    <t>7569</t>
  </si>
  <si>
    <t>Dewitt</t>
  </si>
  <si>
    <t>Borger</t>
  </si>
  <si>
    <t>8514</t>
  </si>
  <si>
    <t>Nena</t>
  </si>
  <si>
    <t>Hacker</t>
  </si>
  <si>
    <t>8563</t>
  </si>
  <si>
    <t>Kelsie</t>
  </si>
  <si>
    <t>Wachtel</t>
  </si>
  <si>
    <t>8642</t>
  </si>
  <si>
    <t>Sau</t>
  </si>
  <si>
    <t>Pfau</t>
  </si>
  <si>
    <t>9536</t>
  </si>
  <si>
    <t>Shanice</t>
  </si>
  <si>
    <t>Mccrystal</t>
  </si>
  <si>
    <t>2567</t>
  </si>
  <si>
    <t>Chase</t>
  </si>
  <si>
    <t>Karner</t>
  </si>
  <si>
    <t>2154</t>
  </si>
  <si>
    <t>Tommie</t>
  </si>
  <si>
    <t>Underdahl</t>
  </si>
  <si>
    <t>3265</t>
  </si>
  <si>
    <t>Dorcas</t>
  </si>
  <si>
    <t>Darity</t>
  </si>
  <si>
    <t>8765</t>
  </si>
  <si>
    <t>Angel</t>
  </si>
  <si>
    <t>Sanor</t>
  </si>
  <si>
    <t>Willodean</t>
  </si>
  <si>
    <t>Harn</t>
  </si>
  <si>
    <t>3567</t>
  </si>
  <si>
    <t>Weston</t>
  </si>
  <si>
    <t>Martina</t>
  </si>
  <si>
    <t>6540</t>
  </si>
  <si>
    <t>Roma</t>
  </si>
  <si>
    <t>Lafollette</t>
  </si>
  <si>
    <t>2654</t>
  </si>
  <si>
    <t>Felisa</t>
  </si>
  <si>
    <t>Cail</t>
  </si>
  <si>
    <t>6525</t>
  </si>
  <si>
    <t>Demetria</t>
  </si>
  <si>
    <t>Abbey</t>
  </si>
  <si>
    <t>Jeromy</t>
  </si>
  <si>
    <t>Danz</t>
  </si>
  <si>
    <t>Rasheeda</t>
  </si>
  <si>
    <t>Alkire</t>
  </si>
  <si>
    <t>15/10/2017</t>
  </si>
  <si>
    <t>16/08/2016</t>
  </si>
  <si>
    <t>21/05/2015</t>
  </si>
  <si>
    <t>Formatting in Excel Data</t>
  </si>
  <si>
    <t>Column1</t>
  </si>
  <si>
    <t>Alignments</t>
  </si>
  <si>
    <t>Font</t>
  </si>
  <si>
    <t>Bold</t>
  </si>
  <si>
    <t>Sample Text</t>
  </si>
  <si>
    <t>Italic</t>
  </si>
  <si>
    <t>Underline</t>
  </si>
  <si>
    <t>hello I am leaning excel for beginners</t>
  </si>
  <si>
    <t>Border</t>
  </si>
  <si>
    <t>Background Color</t>
  </si>
  <si>
    <t>Font Color</t>
  </si>
  <si>
    <t>dd-mm-yyyy</t>
  </si>
  <si>
    <t>Font1</t>
  </si>
  <si>
    <t>Font2</t>
  </si>
  <si>
    <t>Font3</t>
  </si>
  <si>
    <t>Department Data</t>
  </si>
  <si>
    <t>Sales person data</t>
  </si>
  <si>
    <t>Name</t>
  </si>
  <si>
    <t>Color</t>
  </si>
  <si>
    <t>Region</t>
  </si>
  <si>
    <t>Units</t>
  </si>
  <si>
    <t>Red</t>
  </si>
  <si>
    <t>West</t>
  </si>
  <si>
    <t>Blue</t>
  </si>
  <si>
    <t>South</t>
  </si>
  <si>
    <t>Sum of Sales</t>
  </si>
  <si>
    <t>Green</t>
  </si>
  <si>
    <t>East</t>
  </si>
  <si>
    <t>North</t>
  </si>
  <si>
    <t>Grand Total</t>
  </si>
  <si>
    <t>Johnson</t>
  </si>
  <si>
    <t xml:space="preserve">Satya </t>
  </si>
  <si>
    <t>Joshna</t>
  </si>
  <si>
    <t>Krishna</t>
  </si>
  <si>
    <t>Lilly</t>
  </si>
  <si>
    <t>Sowmya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</si>
</sst>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₹&quot;\ #,##0;[Red]&quot;₹&quot;\ #,##0"/>
    <numFmt numFmtId="165" formatCode="&quot;$&quot;#,##0_);[Red]\(&quot;$&quot;#,##0\)"/>
    <numFmt numFmtId="166" formatCode="[$$-409]#,##0;[Red][$$-409]#,##0"/>
    <numFmt numFmtId="167" formatCode="[$$-409]#,##0.00;[Red][$$-409]#,##0.00"/>
    <numFmt numFmtId="168" formatCode="[$-14009]dddd\,\ d\ mmmm\,\ yyyy;@"/>
    <numFmt numFmtId="169" formatCode="0.00;[Red]0.00"/>
    <numFmt numFmtId="170" formatCode="[$$-540A]#,##0;[Red][$$-540A]#,##0"/>
    <numFmt numFmtId="171" formatCode="[$-14009]dd\ mmmm\ yyyy;@"/>
    <numFmt numFmtId="172" formatCode="[$-14009]yyyy/mm/dd;@"/>
    <numFmt numFmtId="173" formatCode="[$-409]d\-mmm\-yy;@"/>
    <numFmt numFmtId="174" formatCode="&quot;$&quot;#,##0.00"/>
    <numFmt numFmtId="175" formatCode="[$$-1009]#,##0;[Red][$$-1009]#,##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7030A0"/>
      <name val="Bahnschrift Condensed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8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3" borderId="0" xfId="1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3" borderId="0" xfId="0" applyFont="1" applyFill="1"/>
    <xf numFmtId="0" fontId="3" fillId="0" borderId="0" xfId="0" applyFont="1" applyAlignment="1">
      <alignment horizontal="center"/>
    </xf>
    <xf numFmtId="168" fontId="0" fillId="0" borderId="0" xfId="0" applyNumberFormat="1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4" borderId="0" xfId="0" applyFill="1"/>
    <xf numFmtId="49" fontId="0" fillId="0" borderId="0" xfId="0" applyNumberFormat="1"/>
    <xf numFmtId="0" fontId="4" fillId="4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3" fillId="0" borderId="0" xfId="0" quotePrefix="1" applyFont="1"/>
    <xf numFmtId="0" fontId="0" fillId="4" borderId="0" xfId="0" applyFill="1" applyAlignment="1">
      <alignment horizontal="center"/>
    </xf>
    <xf numFmtId="0" fontId="0" fillId="0" borderId="0" xfId="0" quotePrefix="1"/>
    <xf numFmtId="0" fontId="3" fillId="4" borderId="0" xfId="0" applyFont="1" applyFill="1"/>
    <xf numFmtId="169" fontId="0" fillId="0" borderId="0" xfId="0" applyNumberFormat="1"/>
    <xf numFmtId="0" fontId="5" fillId="4" borderId="1" xfId="0" applyFont="1" applyFill="1" applyBorder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70" fontId="0" fillId="0" borderId="0" xfId="0" applyNumberFormat="1"/>
    <xf numFmtId="171" fontId="0" fillId="0" borderId="0" xfId="0" applyNumberFormat="1"/>
    <xf numFmtId="1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 vertical="center"/>
    </xf>
    <xf numFmtId="0" fontId="2" fillId="6" borderId="0" xfId="0" applyFont="1" applyFill="1"/>
    <xf numFmtId="173" fontId="0" fillId="7" borderId="2" xfId="0" applyNumberFormat="1" applyFill="1" applyBorder="1"/>
    <xf numFmtId="0" fontId="0" fillId="7" borderId="2" xfId="0" applyFill="1" applyBorder="1"/>
    <xf numFmtId="174" fontId="0" fillId="7" borderId="2" xfId="0" applyNumberFormat="1" applyFill="1" applyBorder="1"/>
    <xf numFmtId="173" fontId="0" fillId="0" borderId="2" xfId="0" applyNumberFormat="1" applyBorder="1"/>
    <xf numFmtId="0" fontId="0" fillId="0" borderId="2" xfId="0" applyBorder="1"/>
    <xf numFmtId="174" fontId="0" fillId="0" borderId="2" xfId="0" applyNumberFormat="1" applyBorder="1"/>
    <xf numFmtId="175" fontId="0" fillId="0" borderId="0" xfId="0" applyNumberFormat="1"/>
    <xf numFmtId="173" fontId="3" fillId="7" borderId="2" xfId="0" applyNumberFormat="1" applyFont="1" applyFill="1" applyBorder="1"/>
    <xf numFmtId="173" fontId="3" fillId="0" borderId="2" xfId="0" applyNumberFormat="1" applyFont="1" applyBorder="1"/>
    <xf numFmtId="0" fontId="0" fillId="0" borderId="0" xfId="0" pivotButton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175" formatCode="[$$-1009]#,##0;[Red][$$-10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3"/>
              <c:pt idx="0">
                <c:v>Ahmed</c:v>
              </c:pt>
              <c:pt idx="1">
                <c:v>John Perry</c:v>
              </c:pt>
              <c:pt idx="2">
                <c:v>Johnson</c:v>
              </c:pt>
              <c:pt idx="3">
                <c:v>Joshna</c:v>
              </c:pt>
              <c:pt idx="4">
                <c:v>Krish Prem</c:v>
              </c:pt>
              <c:pt idx="5">
                <c:v>Krishna</c:v>
              </c:pt>
              <c:pt idx="6">
                <c:v>Lilly</c:v>
              </c:pt>
              <c:pt idx="7">
                <c:v>Mary Alice</c:v>
              </c:pt>
              <c:pt idx="8">
                <c:v>Paul Mojo</c:v>
              </c:pt>
              <c:pt idx="9">
                <c:v>Pradyumna</c:v>
              </c:pt>
              <c:pt idx="10">
                <c:v>Rajesh Hed</c:v>
              </c:pt>
              <c:pt idx="11">
                <c:v>Satya </c:v>
              </c:pt>
              <c:pt idx="12">
                <c:v>Sowmya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230</c:v>
              </c:pt>
              <c:pt idx="2">
                <c:v>284</c:v>
              </c:pt>
              <c:pt idx="3">
                <c:v>84</c:v>
              </c:pt>
              <c:pt idx="4">
                <c:v>84</c:v>
              </c:pt>
              <c:pt idx="5">
                <c:v>0</c:v>
              </c:pt>
              <c:pt idx="6">
                <c:v>66</c:v>
              </c:pt>
              <c:pt idx="7">
                <c:v>100</c:v>
              </c:pt>
              <c:pt idx="8">
                <c:v>89</c:v>
              </c:pt>
              <c:pt idx="9">
                <c:v>0</c:v>
              </c:pt>
              <c:pt idx="10">
                <c:v>0</c:v>
              </c:pt>
              <c:pt idx="11">
                <c:v>186</c:v>
              </c:pt>
              <c:pt idx="12">
                <c:v>39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23-45D5-A46B-7F06E4B59FE0}"/>
            </c:ext>
          </c:extLst>
        </c:ser>
        <c:ser>
          <c:idx val="1"/>
          <c:order val="1"/>
          <c:tx>
            <c:v>North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3"/>
              <c:pt idx="0">
                <c:v>Ahmed</c:v>
              </c:pt>
              <c:pt idx="1">
                <c:v>John Perry</c:v>
              </c:pt>
              <c:pt idx="2">
                <c:v>Johnson</c:v>
              </c:pt>
              <c:pt idx="3">
                <c:v>Joshna</c:v>
              </c:pt>
              <c:pt idx="4">
                <c:v>Krish Prem</c:v>
              </c:pt>
              <c:pt idx="5">
                <c:v>Krishna</c:v>
              </c:pt>
              <c:pt idx="6">
                <c:v>Lilly</c:v>
              </c:pt>
              <c:pt idx="7">
                <c:v>Mary Alice</c:v>
              </c:pt>
              <c:pt idx="8">
                <c:v>Paul Mojo</c:v>
              </c:pt>
              <c:pt idx="9">
                <c:v>Pradyumna</c:v>
              </c:pt>
              <c:pt idx="10">
                <c:v>Rajesh Hed</c:v>
              </c:pt>
              <c:pt idx="11">
                <c:v>Satya </c:v>
              </c:pt>
              <c:pt idx="12">
                <c:v>Sowmya</c:v>
              </c:pt>
            </c:strLit>
          </c:cat>
          <c:val>
            <c:numLit>
              <c:formatCode>General</c:formatCode>
              <c:ptCount val="13"/>
              <c:pt idx="0">
                <c:v>123</c:v>
              </c:pt>
              <c:pt idx="1">
                <c:v>24</c:v>
              </c:pt>
              <c:pt idx="2">
                <c:v>0</c:v>
              </c:pt>
              <c:pt idx="3">
                <c:v>0</c:v>
              </c:pt>
              <c:pt idx="4">
                <c:v>213</c:v>
              </c:pt>
              <c:pt idx="5">
                <c:v>96</c:v>
              </c:pt>
              <c:pt idx="6">
                <c:v>245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175</c:v>
              </c:pt>
              <c:pt idx="11">
                <c:v>252</c:v>
              </c:pt>
              <c:pt idx="12">
                <c:v>116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423-45D5-A46B-7F06E4B59FE0}"/>
            </c:ext>
          </c:extLst>
        </c:ser>
        <c:ser>
          <c:idx val="2"/>
          <c:order val="2"/>
          <c:tx>
            <c:v>South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3"/>
              <c:pt idx="0">
                <c:v>Ahmed</c:v>
              </c:pt>
              <c:pt idx="1">
                <c:v>John Perry</c:v>
              </c:pt>
              <c:pt idx="2">
                <c:v>Johnson</c:v>
              </c:pt>
              <c:pt idx="3">
                <c:v>Joshna</c:v>
              </c:pt>
              <c:pt idx="4">
                <c:v>Krish Prem</c:v>
              </c:pt>
              <c:pt idx="5">
                <c:v>Krishna</c:v>
              </c:pt>
              <c:pt idx="6">
                <c:v>Lilly</c:v>
              </c:pt>
              <c:pt idx="7">
                <c:v>Mary Alice</c:v>
              </c:pt>
              <c:pt idx="8">
                <c:v>Paul Mojo</c:v>
              </c:pt>
              <c:pt idx="9">
                <c:v>Pradyumna</c:v>
              </c:pt>
              <c:pt idx="10">
                <c:v>Rajesh Hed</c:v>
              </c:pt>
              <c:pt idx="11">
                <c:v>Satya </c:v>
              </c:pt>
              <c:pt idx="12">
                <c:v>Sowmya</c:v>
              </c:pt>
            </c:strLit>
          </c:cat>
          <c:val>
            <c:numLit>
              <c:formatCode>General</c:formatCode>
              <c:ptCount val="13"/>
              <c:pt idx="0">
                <c:v>241</c:v>
              </c:pt>
              <c:pt idx="1">
                <c:v>175</c:v>
              </c:pt>
              <c:pt idx="2">
                <c:v>79</c:v>
              </c:pt>
              <c:pt idx="3">
                <c:v>13</c:v>
              </c:pt>
              <c:pt idx="4">
                <c:v>67</c:v>
              </c:pt>
              <c:pt idx="5">
                <c:v>78</c:v>
              </c:pt>
              <c:pt idx="6">
                <c:v>174</c:v>
              </c:pt>
              <c:pt idx="7">
                <c:v>129</c:v>
              </c:pt>
              <c:pt idx="8">
                <c:v>34</c:v>
              </c:pt>
              <c:pt idx="9">
                <c:v>173</c:v>
              </c:pt>
              <c:pt idx="10">
                <c:v>202</c:v>
              </c:pt>
              <c:pt idx="11">
                <c:v>65</c:v>
              </c:pt>
              <c:pt idx="12">
                <c:v>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423-45D5-A46B-7F06E4B59FE0}"/>
            </c:ext>
          </c:extLst>
        </c:ser>
        <c:ser>
          <c:idx val="3"/>
          <c:order val="3"/>
          <c:tx>
            <c:v>West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3"/>
              <c:pt idx="0">
                <c:v>Ahmed</c:v>
              </c:pt>
              <c:pt idx="1">
                <c:v>John Perry</c:v>
              </c:pt>
              <c:pt idx="2">
                <c:v>Johnson</c:v>
              </c:pt>
              <c:pt idx="3">
                <c:v>Joshna</c:v>
              </c:pt>
              <c:pt idx="4">
                <c:v>Krish Prem</c:v>
              </c:pt>
              <c:pt idx="5">
                <c:v>Krishna</c:v>
              </c:pt>
              <c:pt idx="6">
                <c:v>Lilly</c:v>
              </c:pt>
              <c:pt idx="7">
                <c:v>Mary Alice</c:v>
              </c:pt>
              <c:pt idx="8">
                <c:v>Paul Mojo</c:v>
              </c:pt>
              <c:pt idx="9">
                <c:v>Pradyumna</c:v>
              </c:pt>
              <c:pt idx="10">
                <c:v>Rajesh Hed</c:v>
              </c:pt>
              <c:pt idx="11">
                <c:v>Satya </c:v>
              </c:pt>
              <c:pt idx="12">
                <c:v>Sowmya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66</c:v>
              </c:pt>
              <c:pt idx="2">
                <c:v>12</c:v>
              </c:pt>
              <c:pt idx="3">
                <c:v>250</c:v>
              </c:pt>
              <c:pt idx="4">
                <c:v>98</c:v>
              </c:pt>
              <c:pt idx="5">
                <c:v>278</c:v>
              </c:pt>
              <c:pt idx="6">
                <c:v>78</c:v>
              </c:pt>
              <c:pt idx="7">
                <c:v>83</c:v>
              </c:pt>
              <c:pt idx="8">
                <c:v>203</c:v>
              </c:pt>
              <c:pt idx="9">
                <c:v>167</c:v>
              </c:pt>
              <c:pt idx="10">
                <c:v>74</c:v>
              </c:pt>
              <c:pt idx="11">
                <c:v>0</c:v>
              </c:pt>
              <c:pt idx="12">
                <c:v>113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423-45D5-A46B-7F06E4B59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596960"/>
        <c:axId val="309601120"/>
      </c:lineChart>
      <c:catAx>
        <c:axId val="3095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01120"/>
        <c:crosses val="autoZero"/>
        <c:auto val="1"/>
        <c:lblAlgn val="ctr"/>
        <c:lblOffset val="100"/>
        <c:noMultiLvlLbl val="0"/>
      </c:catAx>
      <c:valAx>
        <c:axId val="3096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59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307975</xdr:colOff>
      <xdr:row>2</xdr:row>
      <xdr:rowOff>50800</xdr:rowOff>
    </xdr:from>
    <xdr:to>
      <xdr:col>23</xdr:col>
      <xdr:colOff>3175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0EA29-08A3-40E5-B66C-4ED002BF0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%20Notes%20and%20sample%20projects/Excel%20Course%20Not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 Systems" refreshedDate="44924.530224884256" createdVersion="8" refreshedVersion="8" minRefreshableVersion="3" recordCount="100" xr:uid="{A730780A-486C-4844-8172-58880769B985}">
  <cacheSource type="worksheet">
    <worksheetSource ref="A2:F102" sheet="Pivot Table" r:id="rId2"/>
  </cacheSource>
  <cacheFields count="6">
    <cacheField name="Date" numFmtId="173">
      <sharedItems containsSemiMixedTypes="0" containsNonDate="0" containsDate="1" containsString="0" minDate="2016-01-03T00:00:00" maxDate="2017-04-27T00:00:00"/>
    </cacheField>
    <cacheField name="Name" numFmtId="0">
      <sharedItems count="13">
        <s v="Mary Alice"/>
        <s v="John Perry"/>
        <s v="Pradyumna"/>
        <s v="Rajesh Hed"/>
        <s v="Krish Prem"/>
        <s v="Paul Mojo"/>
        <s v="Satya "/>
        <s v="Krishna"/>
        <s v="Johnson"/>
        <s v="Ahmed"/>
        <s v="Sowmya"/>
        <s v="Lilly"/>
        <s v="Joshna"/>
      </sharedItems>
    </cacheField>
    <cacheField name="Color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Units" numFmtId="0">
      <sharedItems containsSemiMixedTypes="0" containsString="0" containsNumber="1" containsInteger="1" minValue="1" maxValue="8"/>
    </cacheField>
    <cacheField name="Sales" numFmtId="174">
      <sharedItems containsSemiMixedTypes="0" containsString="0" containsNumber="1" containsInteger="1" minValue="11" maxValue="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16-01-03T00:00:00"/>
    <x v="0"/>
    <s v="Red"/>
    <x v="0"/>
    <n v="1"/>
    <n v="11"/>
  </r>
  <r>
    <d v="2016-01-13T00:00:00"/>
    <x v="1"/>
    <s v="Blue"/>
    <x v="1"/>
    <n v="8"/>
    <n v="96"/>
  </r>
  <r>
    <d v="2016-01-21T00:00:00"/>
    <x v="2"/>
    <s v="Green"/>
    <x v="0"/>
    <n v="2"/>
    <n v="26"/>
  </r>
  <r>
    <d v="2016-01-30T00:00:00"/>
    <x v="3"/>
    <s v="Blue"/>
    <x v="2"/>
    <n v="7"/>
    <n v="84"/>
  </r>
  <r>
    <d v="2016-02-07T00:00:00"/>
    <x v="4"/>
    <s v="Green"/>
    <x v="2"/>
    <n v="8"/>
    <n v="104"/>
  </r>
  <r>
    <d v="2016-02-13T00:00:00"/>
    <x v="5"/>
    <s v="Red"/>
    <x v="1"/>
    <n v="2"/>
    <n v="22"/>
  </r>
  <r>
    <d v="2016-02-21T00:00:00"/>
    <x v="6"/>
    <s v="Blue"/>
    <x v="3"/>
    <n v="5"/>
    <n v="60"/>
  </r>
  <r>
    <d v="2016-03-01T00:00:00"/>
    <x v="7"/>
    <s v="Green"/>
    <x v="0"/>
    <n v="2"/>
    <n v="26"/>
  </r>
  <r>
    <d v="2016-03-13T00:00:00"/>
    <x v="8"/>
    <s v="Blue"/>
    <x v="3"/>
    <n v="8"/>
    <n v="96"/>
  </r>
  <r>
    <d v="2016-03-23T00:00:00"/>
    <x v="9"/>
    <s v="Blue"/>
    <x v="2"/>
    <n v="7"/>
    <n v="84"/>
  </r>
  <r>
    <d v="2016-03-28T00:00:00"/>
    <x v="10"/>
    <s v="Green"/>
    <x v="0"/>
    <n v="2"/>
    <n v="26"/>
  </r>
  <r>
    <d v="2016-04-03T00:00:00"/>
    <x v="11"/>
    <s v="Blue"/>
    <x v="1"/>
    <n v="8"/>
    <n v="96"/>
  </r>
  <r>
    <d v="2016-04-12T00:00:00"/>
    <x v="12"/>
    <s v="Green"/>
    <x v="1"/>
    <n v="1"/>
    <n v="13"/>
  </r>
  <r>
    <d v="2016-04-16T00:00:00"/>
    <x v="0"/>
    <s v="Red"/>
    <x v="3"/>
    <n v="8"/>
    <n v="88"/>
  </r>
  <r>
    <d v="2016-04-23T00:00:00"/>
    <x v="1"/>
    <s v="Red"/>
    <x v="0"/>
    <n v="6"/>
    <n v="66"/>
  </r>
  <r>
    <d v="2016-04-30T00:00:00"/>
    <x v="2"/>
    <s v="Green"/>
    <x v="1"/>
    <n v="5"/>
    <n v="65"/>
  </r>
  <r>
    <d v="2016-05-09T00:00:00"/>
    <x v="3"/>
    <s v="Blue"/>
    <x v="1"/>
    <n v="7"/>
    <n v="84"/>
  </r>
  <r>
    <d v="2016-05-16T00:00:00"/>
    <x v="4"/>
    <s v="Red"/>
    <x v="1"/>
    <n v="5"/>
    <n v="55"/>
  </r>
  <r>
    <d v="2016-05-25T00:00:00"/>
    <x v="5"/>
    <s v="Blue"/>
    <x v="1"/>
    <n v="1"/>
    <n v="12"/>
  </r>
  <r>
    <d v="2016-05-30T00:00:00"/>
    <x v="6"/>
    <s v="Blue"/>
    <x v="2"/>
    <n v="4"/>
    <n v="48"/>
  </r>
  <r>
    <d v="2016-06-04T00:00:00"/>
    <x v="7"/>
    <s v="Blue"/>
    <x v="2"/>
    <n v="7"/>
    <n v="84"/>
  </r>
  <r>
    <d v="2016-06-13T00:00:00"/>
    <x v="8"/>
    <s v="Red"/>
    <x v="3"/>
    <n v="3"/>
    <n v="33"/>
  </r>
  <r>
    <d v="2016-06-21T00:00:00"/>
    <x v="9"/>
    <s v="Blue"/>
    <x v="1"/>
    <n v="2"/>
    <n v="24"/>
  </r>
  <r>
    <d v="2016-06-26T00:00:00"/>
    <x v="10"/>
    <s v="Blue"/>
    <x v="1"/>
    <n v="6"/>
    <n v="72"/>
  </r>
  <r>
    <d v="2016-07-02T00:00:00"/>
    <x v="11"/>
    <s v="Red"/>
    <x v="3"/>
    <n v="6"/>
    <n v="66"/>
  </r>
  <r>
    <d v="2016-07-08T00:00:00"/>
    <x v="12"/>
    <s v="Green"/>
    <x v="0"/>
    <n v="2"/>
    <n v="26"/>
  </r>
  <r>
    <d v="2016-07-12T00:00:00"/>
    <x v="0"/>
    <s v="Blue"/>
    <x v="1"/>
    <n v="4"/>
    <n v="48"/>
  </r>
  <r>
    <d v="2016-07-19T00:00:00"/>
    <x v="1"/>
    <s v="Green"/>
    <x v="1"/>
    <n v="1"/>
    <n v="13"/>
  </r>
  <r>
    <d v="2016-07-26T00:00:00"/>
    <x v="2"/>
    <s v="Blue"/>
    <x v="0"/>
    <n v="1"/>
    <n v="12"/>
  </r>
  <r>
    <d v="2016-07-31T00:00:00"/>
    <x v="3"/>
    <s v="Red"/>
    <x v="1"/>
    <n v="2"/>
    <n v="22"/>
  </r>
  <r>
    <d v="2016-08-07T00:00:00"/>
    <x v="4"/>
    <s v="Green"/>
    <x v="0"/>
    <n v="5"/>
    <n v="65"/>
  </r>
  <r>
    <d v="2016-08-13T00:00:00"/>
    <x v="5"/>
    <s v="Blue"/>
    <x v="0"/>
    <n v="5"/>
    <n v="60"/>
  </r>
  <r>
    <d v="2016-08-20T00:00:00"/>
    <x v="6"/>
    <s v="Green"/>
    <x v="2"/>
    <n v="8"/>
    <n v="104"/>
  </r>
  <r>
    <d v="2016-08-25T00:00:00"/>
    <x v="7"/>
    <s v="Blue"/>
    <x v="0"/>
    <n v="4"/>
    <n v="48"/>
  </r>
  <r>
    <d v="2016-09-01T00:00:00"/>
    <x v="8"/>
    <s v="Red"/>
    <x v="1"/>
    <n v="6"/>
    <n v="66"/>
  </r>
  <r>
    <d v="2016-09-07T00:00:00"/>
    <x v="9"/>
    <s v="Green"/>
    <x v="1"/>
    <n v="7"/>
    <n v="91"/>
  </r>
  <r>
    <d v="2016-09-10T00:00:00"/>
    <x v="10"/>
    <s v="Red"/>
    <x v="2"/>
    <n v="4"/>
    <n v="44"/>
  </r>
  <r>
    <d v="2016-09-13T00:00:00"/>
    <x v="11"/>
    <s v="Green"/>
    <x v="0"/>
    <n v="6"/>
    <n v="78"/>
  </r>
  <r>
    <d v="2016-09-19T00:00:00"/>
    <x v="12"/>
    <s v="Blue"/>
    <x v="0"/>
    <n v="1"/>
    <n v="12"/>
  </r>
  <r>
    <d v="2016-09-26T00:00:00"/>
    <x v="0"/>
    <s v="Blue"/>
    <x v="1"/>
    <n v="4"/>
    <n v="48"/>
  </r>
  <r>
    <d v="2016-09-30T00:00:00"/>
    <x v="1"/>
    <s v="Red"/>
    <x v="1"/>
    <n v="6"/>
    <n v="66"/>
  </r>
  <r>
    <d v="2016-10-06T00:00:00"/>
    <x v="2"/>
    <s v="Blue"/>
    <x v="1"/>
    <n v="3"/>
    <n v="36"/>
  </r>
  <r>
    <d v="2016-10-09T00:00:00"/>
    <x v="3"/>
    <s v="Green"/>
    <x v="0"/>
    <n v="2"/>
    <n v="26"/>
  </r>
  <r>
    <d v="2016-10-14T00:00:00"/>
    <x v="4"/>
    <s v="Blue"/>
    <x v="1"/>
    <n v="1"/>
    <n v="12"/>
  </r>
  <r>
    <d v="2016-10-19T00:00:00"/>
    <x v="5"/>
    <s v="Blue"/>
    <x v="3"/>
    <n v="2"/>
    <n v="24"/>
  </r>
  <r>
    <d v="2016-10-23T00:00:00"/>
    <x v="6"/>
    <s v="Red"/>
    <x v="2"/>
    <n v="8"/>
    <n v="88"/>
  </r>
  <r>
    <d v="2016-10-26T00:00:00"/>
    <x v="7"/>
    <s v="Green"/>
    <x v="1"/>
    <n v="6"/>
    <n v="78"/>
  </r>
  <r>
    <d v="2016-10-30T00:00:00"/>
    <x v="8"/>
    <s v="Green"/>
    <x v="3"/>
    <n v="7"/>
    <n v="91"/>
  </r>
  <r>
    <d v="2016-11-05T00:00:00"/>
    <x v="9"/>
    <s v="Red"/>
    <x v="1"/>
    <n v="2"/>
    <n v="22"/>
  </r>
  <r>
    <d v="2016-11-10T00:00:00"/>
    <x v="10"/>
    <s v="Blue"/>
    <x v="2"/>
    <n v="6"/>
    <n v="72"/>
  </r>
  <r>
    <d v="2016-11-15T00:00:00"/>
    <x v="11"/>
    <s v="Blue"/>
    <x v="2"/>
    <n v="6"/>
    <n v="72"/>
  </r>
  <r>
    <d v="2016-11-20T00:00:00"/>
    <x v="12"/>
    <s v="Blue"/>
    <x v="0"/>
    <n v="8"/>
    <n v="96"/>
  </r>
  <r>
    <d v="2016-11-23T00:00:00"/>
    <x v="0"/>
    <s v="Red"/>
    <x v="1"/>
    <n v="3"/>
    <n v="33"/>
  </r>
  <r>
    <d v="2016-11-28T00:00:00"/>
    <x v="1"/>
    <s v="Blue"/>
    <x v="2"/>
    <n v="2"/>
    <n v="24"/>
  </r>
  <r>
    <d v="2016-11-30T00:00:00"/>
    <x v="2"/>
    <s v="Blue"/>
    <x v="1"/>
    <n v="1"/>
    <n v="12"/>
  </r>
  <r>
    <d v="2016-12-04T00:00:00"/>
    <x v="3"/>
    <s v="Blue"/>
    <x v="1"/>
    <n v="8"/>
    <n v="96"/>
  </r>
  <r>
    <d v="2016-12-07T00:00:00"/>
    <x v="4"/>
    <s v="Green"/>
    <x v="2"/>
    <n v="1"/>
    <n v="13"/>
  </r>
  <r>
    <d v="2016-12-09T00:00:00"/>
    <x v="5"/>
    <s v="Green"/>
    <x v="3"/>
    <n v="5"/>
    <n v="65"/>
  </r>
  <r>
    <d v="2016-12-14T00:00:00"/>
    <x v="6"/>
    <s v="Blue"/>
    <x v="2"/>
    <n v="1"/>
    <n v="12"/>
  </r>
  <r>
    <d v="2016-12-16T00:00:00"/>
    <x v="7"/>
    <s v="Blue"/>
    <x v="2"/>
    <n v="1"/>
    <n v="12"/>
  </r>
  <r>
    <d v="2016-12-20T00:00:00"/>
    <x v="8"/>
    <s v="Green"/>
    <x v="3"/>
    <n v="4"/>
    <n v="52"/>
  </r>
  <r>
    <d v="2016-12-23T00:00:00"/>
    <x v="9"/>
    <s v="Blue"/>
    <x v="1"/>
    <n v="5"/>
    <n v="60"/>
  </r>
  <r>
    <d v="2016-12-25T00:00:00"/>
    <x v="10"/>
    <s v="Green"/>
    <x v="3"/>
    <n v="3"/>
    <n v="39"/>
  </r>
  <r>
    <d v="2016-12-28T00:00:00"/>
    <x v="11"/>
    <s v="Blue"/>
    <x v="2"/>
    <n v="8"/>
    <n v="96"/>
  </r>
  <r>
    <d v="2016-12-31T00:00:00"/>
    <x v="12"/>
    <s v="Blue"/>
    <x v="0"/>
    <n v="6"/>
    <n v="72"/>
  </r>
  <r>
    <d v="2017-01-05T00:00:00"/>
    <x v="0"/>
    <s v="Blue"/>
    <x v="3"/>
    <n v="1"/>
    <n v="12"/>
  </r>
  <r>
    <d v="2017-01-09T00:00:00"/>
    <x v="1"/>
    <s v="Green"/>
    <x v="3"/>
    <n v="8"/>
    <n v="104"/>
  </r>
  <r>
    <d v="2017-01-11T00:00:00"/>
    <x v="2"/>
    <s v="Blue"/>
    <x v="1"/>
    <n v="5"/>
    <n v="60"/>
  </r>
  <r>
    <d v="2017-01-16T00:00:00"/>
    <x v="3"/>
    <s v="Green"/>
    <x v="2"/>
    <n v="6"/>
    <n v="78"/>
  </r>
  <r>
    <d v="2017-01-19T00:00:00"/>
    <x v="4"/>
    <s v="Blue"/>
    <x v="2"/>
    <n v="8"/>
    <n v="96"/>
  </r>
  <r>
    <d v="2017-01-24T00:00:00"/>
    <x v="5"/>
    <s v="Blue"/>
    <x v="0"/>
    <n v="3"/>
    <n v="36"/>
  </r>
  <r>
    <d v="2017-01-28T00:00:00"/>
    <x v="6"/>
    <s v="Green"/>
    <x v="1"/>
    <n v="5"/>
    <n v="65"/>
  </r>
  <r>
    <d v="2017-01-31T00:00:00"/>
    <x v="7"/>
    <s v="Green"/>
    <x v="0"/>
    <n v="5"/>
    <n v="65"/>
  </r>
  <r>
    <d v="2017-02-03T00:00:00"/>
    <x v="8"/>
    <s v="Green"/>
    <x v="1"/>
    <n v="1"/>
    <n v="13"/>
  </r>
  <r>
    <d v="2017-02-08T00:00:00"/>
    <x v="9"/>
    <s v="Red"/>
    <x v="1"/>
    <n v="4"/>
    <n v="44"/>
  </r>
  <r>
    <d v="2017-02-10T00:00:00"/>
    <x v="10"/>
    <s v="Red"/>
    <x v="0"/>
    <n v="2"/>
    <n v="22"/>
  </r>
  <r>
    <d v="2017-02-14T00:00:00"/>
    <x v="11"/>
    <s v="Green"/>
    <x v="1"/>
    <n v="6"/>
    <n v="78"/>
  </r>
  <r>
    <d v="2017-02-16T00:00:00"/>
    <x v="12"/>
    <s v="Blue"/>
    <x v="3"/>
    <n v="7"/>
    <n v="84"/>
  </r>
  <r>
    <d v="2017-02-18T00:00:00"/>
    <x v="0"/>
    <s v="Blue"/>
    <x v="0"/>
    <n v="5"/>
    <n v="60"/>
  </r>
  <r>
    <d v="2017-02-23T00:00:00"/>
    <x v="1"/>
    <s v="Green"/>
    <x v="3"/>
    <n v="8"/>
    <n v="104"/>
  </r>
  <r>
    <d v="2017-02-27T00:00:00"/>
    <x v="2"/>
    <s v="Red"/>
    <x v="0"/>
    <n v="3"/>
    <n v="33"/>
  </r>
  <r>
    <d v="2017-03-02T00:00:00"/>
    <x v="3"/>
    <s v="Blue"/>
    <x v="0"/>
    <n v="4"/>
    <n v="48"/>
  </r>
  <r>
    <d v="2017-03-05T00:00:00"/>
    <x v="4"/>
    <s v="Blue"/>
    <x v="3"/>
    <n v="7"/>
    <n v="84"/>
  </r>
  <r>
    <d v="2017-03-08T00:00:00"/>
    <x v="5"/>
    <s v="Red"/>
    <x v="0"/>
    <n v="5"/>
    <n v="55"/>
  </r>
  <r>
    <d v="2017-03-13T00:00:00"/>
    <x v="6"/>
    <s v="Green"/>
    <x v="3"/>
    <n v="8"/>
    <n v="104"/>
  </r>
  <r>
    <d v="2017-03-16T00:00:00"/>
    <x v="7"/>
    <s v="Blue"/>
    <x v="0"/>
    <n v="7"/>
    <n v="84"/>
  </r>
  <r>
    <d v="2017-03-21T00:00:00"/>
    <x v="8"/>
    <s v="Blue"/>
    <x v="0"/>
    <n v="1"/>
    <n v="12"/>
  </r>
  <r>
    <d v="2017-03-23T00:00:00"/>
    <x v="9"/>
    <s v="Green"/>
    <x v="2"/>
    <n v="3"/>
    <n v="39"/>
  </r>
  <r>
    <d v="2017-03-28T00:00:00"/>
    <x v="10"/>
    <s v="Green"/>
    <x v="0"/>
    <n v="5"/>
    <n v="65"/>
  </r>
  <r>
    <d v="2017-03-31T00:00:00"/>
    <x v="11"/>
    <s v="Red"/>
    <x v="2"/>
    <n v="7"/>
    <n v="77"/>
  </r>
  <r>
    <d v="2017-04-03T00:00:00"/>
    <x v="12"/>
    <s v="Red"/>
    <x v="0"/>
    <n v="4"/>
    <n v="44"/>
  </r>
  <r>
    <d v="2017-04-06T00:00:00"/>
    <x v="0"/>
    <s v="Blue"/>
    <x v="0"/>
    <n v="1"/>
    <n v="12"/>
  </r>
  <r>
    <d v="2017-04-08T00:00:00"/>
    <x v="1"/>
    <s v="Red"/>
    <x v="3"/>
    <n v="2"/>
    <n v="22"/>
  </r>
  <r>
    <d v="2017-04-10T00:00:00"/>
    <x v="2"/>
    <s v="Blue"/>
    <x v="0"/>
    <n v="8"/>
    <n v="96"/>
  </r>
  <r>
    <d v="2017-04-12T00:00:00"/>
    <x v="3"/>
    <s v="Green"/>
    <x v="2"/>
    <n v="1"/>
    <n v="13"/>
  </r>
  <r>
    <d v="2017-04-15T00:00:00"/>
    <x v="4"/>
    <s v="Red"/>
    <x v="0"/>
    <n v="3"/>
    <n v="33"/>
  </r>
  <r>
    <d v="2017-04-18T00:00:00"/>
    <x v="5"/>
    <s v="Green"/>
    <x v="0"/>
    <n v="4"/>
    <n v="52"/>
  </r>
  <r>
    <d v="2017-04-20T00:00:00"/>
    <x v="6"/>
    <s v="Red"/>
    <x v="3"/>
    <n v="2"/>
    <n v="22"/>
  </r>
  <r>
    <d v="2017-04-23T00:00:00"/>
    <x v="7"/>
    <s v="Red"/>
    <x v="0"/>
    <n v="5"/>
    <n v="55"/>
  </r>
  <r>
    <d v="2017-04-26T00:00:00"/>
    <x v="8"/>
    <s v="Blue"/>
    <x v="3"/>
    <n v="1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3E9AF-45B3-416E-B03F-919BC305F3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4:O19" firstHeaderRow="1" firstDataRow="2" firstDataCol="1"/>
  <pivotFields count="6">
    <pivotField compact="0" numFmtId="173" outline="0" showAll="0" defaultSubtotal="0"/>
    <pivotField axis="axisRow" compact="0" outline="0" showAll="0" defaultSubtotal="0">
      <items count="13">
        <item x="9"/>
        <item x="1"/>
        <item x="8"/>
        <item x="12"/>
        <item x="4"/>
        <item x="7"/>
        <item x="11"/>
        <item x="0"/>
        <item x="5"/>
        <item x="2"/>
        <item x="3"/>
        <item x="6"/>
        <item x="10"/>
      </items>
    </pivotField>
    <pivotField compact="0" outline="0" showAll="0" defaultSubtotal="0"/>
    <pivotField axis="axisCol" compact="0" outline="0" showAll="0" defaultSubtotal="0">
      <items count="4">
        <item x="3"/>
        <item x="2"/>
        <item x="1"/>
        <item x="0"/>
      </items>
    </pivotField>
    <pivotField compact="0" outline="0" showAll="0" defaultSubtotal="0"/>
    <pivotField dataField="1" compact="0" numFmtId="174" outline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formats count="1">
    <format dxfId="17">
      <pivotArea field="1" grandCol="1" collapsedLevelsAreSubtotals="1" axis="axisRow" fieldPosition="0">
        <references count="1">
          <reference field="1" count="0"/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4A474-0DDB-41D7-9BFB-314045DF7A50}" name="Table5" displayName="Table5" ref="B3:G13" totalsRowShown="0" headerRowDxfId="16">
  <autoFilter ref="B3:G13" xr:uid="{9A64A474-0DDB-41D7-9BFB-314045DF7A50}"/>
  <tableColumns count="6">
    <tableColumn id="1" xr3:uid="{3ACB00BD-B131-4EA3-A681-93D78F2AEA9B}" name="Team Name"/>
    <tableColumn id="2" xr3:uid="{5972F633-ADB1-4EF7-A631-1232C46B5D2C}" name="Level1 status"/>
    <tableColumn id="3" xr3:uid="{3C739885-1B0C-417E-818C-C1079E8B3BB3}" name="Level2 status"/>
    <tableColumn id="4" xr3:uid="{A5B5A6C2-AD13-4E88-80FE-D03678644043}" name="Level3 status"/>
    <tableColumn id="5" xr3:uid="{EEF0C42A-0E49-4660-AC5D-73688EFDC7BF}" name="is Team Winner">
      <calculatedColumnFormula>AND(C4="Yes",D4="Yes",E4="Yes")</calculatedColumnFormula>
    </tableColumn>
    <tableColumn id="6" xr3:uid="{23296208-A7BC-4593-B0E1-C7F5C9A9D49A}" name="OR">
      <calculatedColumnFormula>OR(C4="Yes",D4="Yes",E4="Yes")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FF6DF3-1CD2-4898-A1B3-6DC2EE48707B}" name="Table6" displayName="Table6" ref="I3:L12" totalsRowShown="0">
  <autoFilter ref="I3:L12" xr:uid="{96FF6DF3-1CD2-4898-A1B3-6DC2EE48707B}"/>
  <tableColumns count="4">
    <tableColumn id="1" xr3:uid="{DA42D1D4-5B94-40EF-B054-C8B8D5F84E93}" name="    Name"/>
    <tableColumn id="2" xr3:uid="{5F88AD0F-1255-40BC-B01F-EC48DB223347}" name="Type 1"/>
    <tableColumn id="3" xr3:uid="{F6FD21D7-4BE2-4950-902E-2290E12D7A10}" name="HP"/>
    <tableColumn id="4" xr3:uid="{9D3D3638-6CBA-4960-BC92-653531D85F0A}" name="EITHER Fire Type OR less than 60 HP">
      <calculatedColumnFormula>_xlfn.XOR(J4="Fire",K4&lt;60)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47109-A8E7-45E7-85BC-43DFEAF2E46E}" name="Table3" displayName="Table3" ref="A3:A4" headerRowDxfId="15" dataDxfId="14">
  <autoFilter ref="A3:A4" xr:uid="{A8947109-A8E7-45E7-85BC-43DFEAF2E46E}"/>
  <tableColumns count="1">
    <tableColumn id="1" xr3:uid="{DDB1FB50-E077-49CB-B778-FF64C7933827}" name="Column1" totalsRowLabel="Total" dataDxfId="13" totalsRow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3A2BD1-1109-4429-8910-0207B8D17036}" name="Table7" displayName="Table7" ref="A2:D12" headerRowDxfId="11" dataDxfId="10">
  <autoFilter ref="A2:D12" xr:uid="{153A2BD1-1109-4429-8910-0207B8D17036}"/>
  <tableColumns count="4">
    <tableColumn id="1" xr3:uid="{8267039C-A6CE-4928-AC0E-92004114D1D0}" name="Department" totalsRowLabel="Total" dataDxfId="9" totalsRowDxfId="8"/>
    <tableColumn id="2" xr3:uid="{F88B1CE2-7A9C-4688-97FA-637813BA25C6}" name="Product" dataDxfId="7" totalsRowDxfId="6"/>
    <tableColumn id="3" xr3:uid="{ADB9FF81-C316-4621-B640-EAFB36E286EA}" name="Officer Name" dataDxfId="5" totalsRowDxfId="4"/>
    <tableColumn id="4" xr3:uid="{515C9D2A-C3C0-4738-863A-7F78AB8E84A6}" name="Contact" totalsRowFunction="sum" dataDxfId="3" totalsRow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8896-DD3A-4289-AD0B-F14210625DB1}">
  <dimension ref="A1:N18"/>
  <sheetViews>
    <sheetView topLeftCell="A6" workbookViewId="0">
      <selection activeCell="E26" sqref="E26"/>
    </sheetView>
  </sheetViews>
  <sheetFormatPr defaultRowHeight="15" x14ac:dyDescent="0.25"/>
  <sheetData>
    <row r="1" spans="1:14" x14ac:dyDescent="0.25">
      <c r="A1" s="1" t="s">
        <v>0</v>
      </c>
      <c r="F1" s="1" t="s">
        <v>1</v>
      </c>
    </row>
    <row r="2" spans="1:14" x14ac:dyDescent="0.25">
      <c r="B2" s="1" t="s">
        <v>2</v>
      </c>
      <c r="F2" s="1" t="s">
        <v>3</v>
      </c>
    </row>
    <row r="3" spans="1:14" x14ac:dyDescent="0.25">
      <c r="B3" s="1" t="s">
        <v>4</v>
      </c>
      <c r="F3" s="1" t="s">
        <v>5</v>
      </c>
    </row>
    <row r="4" spans="1:14" x14ac:dyDescent="0.25">
      <c r="B4" s="1" t="s">
        <v>6</v>
      </c>
      <c r="F4" s="1" t="s">
        <v>7</v>
      </c>
    </row>
    <row r="5" spans="1:14" x14ac:dyDescent="0.25">
      <c r="F5" s="2" t="s">
        <v>8</v>
      </c>
    </row>
    <row r="7" spans="1:14" x14ac:dyDescent="0.25">
      <c r="A7" s="1" t="s">
        <v>9</v>
      </c>
    </row>
    <row r="8" spans="1:14" x14ac:dyDescent="0.25">
      <c r="A8" s="3" t="s">
        <v>10</v>
      </c>
      <c r="B8" s="3" t="s">
        <v>11</v>
      </c>
      <c r="C8" s="3" t="s">
        <v>12</v>
      </c>
      <c r="D8" s="3" t="s">
        <v>13</v>
      </c>
      <c r="F8" s="3" t="s">
        <v>2</v>
      </c>
      <c r="I8" s="1" t="s">
        <v>7</v>
      </c>
      <c r="L8" s="1" t="s">
        <v>8</v>
      </c>
    </row>
    <row r="9" spans="1:14" x14ac:dyDescent="0.25">
      <c r="A9" t="s">
        <v>14</v>
      </c>
      <c r="B9" t="s">
        <v>15</v>
      </c>
      <c r="C9">
        <v>180</v>
      </c>
      <c r="D9" s="4">
        <v>4682</v>
      </c>
      <c r="F9" t="s">
        <v>16</v>
      </c>
      <c r="G9">
        <f>SUM(C9:C18)</f>
        <v>1542</v>
      </c>
      <c r="L9" t="s">
        <v>17</v>
      </c>
      <c r="M9" t="s">
        <v>18</v>
      </c>
      <c r="N9" t="s">
        <v>19</v>
      </c>
    </row>
    <row r="10" spans="1:14" x14ac:dyDescent="0.25">
      <c r="A10" t="s">
        <v>20</v>
      </c>
      <c r="B10" t="s">
        <v>21</v>
      </c>
      <c r="C10">
        <v>125</v>
      </c>
      <c r="D10" s="4">
        <v>5778</v>
      </c>
      <c r="F10" t="s">
        <v>22</v>
      </c>
      <c r="G10" s="4">
        <f>SUM(D9:D18)</f>
        <v>52246</v>
      </c>
      <c r="I10" t="s">
        <v>23</v>
      </c>
      <c r="J10">
        <v>11</v>
      </c>
      <c r="L10" t="s">
        <v>24</v>
      </c>
      <c r="M10">
        <v>125.46</v>
      </c>
      <c r="N10">
        <f>ROUND(M10,0)</f>
        <v>125</v>
      </c>
    </row>
    <row r="11" spans="1:14" x14ac:dyDescent="0.25">
      <c r="A11" t="s">
        <v>25</v>
      </c>
      <c r="B11" t="s">
        <v>15</v>
      </c>
      <c r="C11">
        <v>140</v>
      </c>
      <c r="D11" s="4">
        <v>5938</v>
      </c>
      <c r="F11" t="s">
        <v>26</v>
      </c>
      <c r="G11" s="4">
        <f>AVERAGE(D9:D18)</f>
        <v>5224.6000000000004</v>
      </c>
      <c r="I11" t="s">
        <v>27</v>
      </c>
      <c r="J11">
        <v>2</v>
      </c>
      <c r="L11" t="s">
        <v>28</v>
      </c>
      <c r="M11">
        <v>46.89</v>
      </c>
      <c r="N11">
        <f t="shared" ref="N11:N13" si="0">ROUND(M11,0)</f>
        <v>47</v>
      </c>
    </row>
    <row r="12" spans="1:14" x14ac:dyDescent="0.25">
      <c r="A12" t="s">
        <v>29</v>
      </c>
      <c r="B12" t="s">
        <v>21</v>
      </c>
      <c r="C12">
        <v>118</v>
      </c>
      <c r="D12" s="4">
        <v>5345</v>
      </c>
      <c r="I12" t="s">
        <v>30</v>
      </c>
      <c r="J12">
        <f>MOD(J10,J11)</f>
        <v>1</v>
      </c>
      <c r="L12" t="s">
        <v>31</v>
      </c>
      <c r="M12">
        <v>134.25</v>
      </c>
      <c r="N12">
        <f t="shared" si="0"/>
        <v>134</v>
      </c>
    </row>
    <row r="13" spans="1:14" x14ac:dyDescent="0.25">
      <c r="A13" t="s">
        <v>32</v>
      </c>
      <c r="B13" t="s">
        <v>21</v>
      </c>
      <c r="C13">
        <v>178</v>
      </c>
      <c r="D13" s="4">
        <v>4427</v>
      </c>
      <c r="F13" t="s">
        <v>33</v>
      </c>
      <c r="G13" s="5">
        <f>AVERAGEIF($B$9:$B$18, "M",$D$9:$D$18)</f>
        <v>5265</v>
      </c>
      <c r="L13" t="s">
        <v>34</v>
      </c>
      <c r="M13">
        <v>145.66999999999999</v>
      </c>
      <c r="N13">
        <f t="shared" si="0"/>
        <v>146</v>
      </c>
    </row>
    <row r="14" spans="1:14" x14ac:dyDescent="0.25">
      <c r="A14" t="s">
        <v>35</v>
      </c>
      <c r="B14" t="s">
        <v>21</v>
      </c>
      <c r="C14">
        <v>169</v>
      </c>
      <c r="D14" s="4">
        <v>5565</v>
      </c>
      <c r="F14" t="s">
        <v>36</v>
      </c>
      <c r="G14" s="6">
        <f>AVERAGEIF($B$9:$B$18, "F",$D$9:$D$18)</f>
        <v>5184.2</v>
      </c>
    </row>
    <row r="15" spans="1:14" x14ac:dyDescent="0.25">
      <c r="A15" t="s">
        <v>37</v>
      </c>
      <c r="B15" t="s">
        <v>15</v>
      </c>
      <c r="C15">
        <v>156</v>
      </c>
      <c r="D15" s="4">
        <v>6120</v>
      </c>
    </row>
    <row r="16" spans="1:14" x14ac:dyDescent="0.25">
      <c r="A16" t="s">
        <v>38</v>
      </c>
      <c r="B16" t="s">
        <v>15</v>
      </c>
      <c r="C16">
        <v>198</v>
      </c>
      <c r="D16" s="4">
        <v>4701</v>
      </c>
      <c r="F16" s="1" t="s">
        <v>39</v>
      </c>
      <c r="G16">
        <f>COUNTA(A9:A18)</f>
        <v>10</v>
      </c>
    </row>
    <row r="17" spans="1:7" x14ac:dyDescent="0.25">
      <c r="A17" t="s">
        <v>40</v>
      </c>
      <c r="B17" t="s">
        <v>21</v>
      </c>
      <c r="C17">
        <v>133</v>
      </c>
      <c r="D17" s="4">
        <v>5210</v>
      </c>
      <c r="F17" t="s">
        <v>41</v>
      </c>
      <c r="G17">
        <f>COUNTIF($B$9:$B$18, "M")</f>
        <v>5</v>
      </c>
    </row>
    <row r="18" spans="1:7" x14ac:dyDescent="0.25">
      <c r="A18" t="s">
        <v>42</v>
      </c>
      <c r="B18" t="s">
        <v>15</v>
      </c>
      <c r="C18">
        <v>145</v>
      </c>
      <c r="D18" s="4">
        <v>4480</v>
      </c>
      <c r="F18" t="s">
        <v>43</v>
      </c>
      <c r="G18">
        <f>COUNTIF($B$9:$B$18, "F")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D1F7-4A41-4648-85FB-EDDD37B62D5D}">
  <dimension ref="A1:N16"/>
  <sheetViews>
    <sheetView workbookViewId="0">
      <selection activeCell="F17" sqref="F17"/>
    </sheetView>
  </sheetViews>
  <sheetFormatPr defaultRowHeight="15" x14ac:dyDescent="0.25"/>
  <cols>
    <col min="1" max="1" width="13.5703125" bestFit="1" customWidth="1"/>
    <col min="2" max="2" width="15.7109375" bestFit="1" customWidth="1"/>
    <col min="3" max="3" width="17" bestFit="1" customWidth="1"/>
    <col min="4" max="4" width="4.7109375" bestFit="1" customWidth="1"/>
    <col min="5" max="5" width="9" bestFit="1" customWidth="1"/>
    <col min="8" max="8" width="10.7109375" bestFit="1" customWidth="1"/>
    <col min="9" max="9" width="13.5703125" bestFit="1" customWidth="1"/>
    <col min="12" max="12" width="12.140625" bestFit="1" customWidth="1"/>
    <col min="13" max="13" width="7.28515625" bestFit="1" customWidth="1"/>
    <col min="14" max="14" width="41.5703125" bestFit="1" customWidth="1"/>
  </cols>
  <sheetData>
    <row r="1" spans="1:14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H1" s="1" t="s">
        <v>49</v>
      </c>
      <c r="I1" s="1" t="s">
        <v>44</v>
      </c>
    </row>
    <row r="3" spans="1:14" x14ac:dyDescent="0.25">
      <c r="A3" s="1" t="s">
        <v>50</v>
      </c>
    </row>
    <row r="4" spans="1:14" x14ac:dyDescent="0.25">
      <c r="A4" s="7" t="s">
        <v>51</v>
      </c>
      <c r="B4" s="7" t="s">
        <v>52</v>
      </c>
      <c r="C4" s="7" t="s">
        <v>53</v>
      </c>
    </row>
    <row r="5" spans="1:14" x14ac:dyDescent="0.25">
      <c r="A5" s="8">
        <v>2201</v>
      </c>
      <c r="B5" s="8" t="s">
        <v>54</v>
      </c>
      <c r="C5" s="8">
        <v>54000</v>
      </c>
      <c r="H5" s="1" t="s">
        <v>55</v>
      </c>
      <c r="I5" t="str">
        <f>REPLACE(B5,3,2, "@")</f>
        <v>Ma@ Alice</v>
      </c>
      <c r="L5" s="1" t="s">
        <v>56</v>
      </c>
    </row>
    <row r="6" spans="1:14" x14ac:dyDescent="0.25">
      <c r="A6" s="8">
        <v>2202</v>
      </c>
      <c r="B6" s="8" t="s">
        <v>57</v>
      </c>
      <c r="C6" s="8">
        <v>65000</v>
      </c>
      <c r="H6" t="s">
        <v>55</v>
      </c>
      <c r="I6" t="str">
        <f>REPLACE(A6,3,2, "22")</f>
        <v>2222</v>
      </c>
      <c r="L6" t="s">
        <v>58</v>
      </c>
      <c r="M6" t="s">
        <v>59</v>
      </c>
      <c r="N6" t="s">
        <v>60</v>
      </c>
    </row>
    <row r="7" spans="1:14" x14ac:dyDescent="0.25">
      <c r="A7" s="8">
        <v>2203</v>
      </c>
      <c r="B7" s="8" t="s">
        <v>61</v>
      </c>
      <c r="C7" s="8">
        <v>80000</v>
      </c>
      <c r="L7" t="s">
        <v>62</v>
      </c>
      <c r="M7">
        <f>LEN(L7)</f>
        <v>5</v>
      </c>
      <c r="N7" t="s">
        <v>63</v>
      </c>
    </row>
    <row r="8" spans="1:14" x14ac:dyDescent="0.25">
      <c r="A8" s="8">
        <v>2204</v>
      </c>
      <c r="B8" s="8" t="s">
        <v>64</v>
      </c>
      <c r="C8" s="8">
        <v>87000</v>
      </c>
      <c r="L8" t="s">
        <v>65</v>
      </c>
      <c r="M8">
        <f t="shared" ref="M8:M16" si="0">LEN(L8)</f>
        <v>6</v>
      </c>
      <c r="N8" t="s">
        <v>66</v>
      </c>
    </row>
    <row r="9" spans="1:14" x14ac:dyDescent="0.25">
      <c r="A9" s="8">
        <v>2205</v>
      </c>
      <c r="B9" s="8" t="s">
        <v>67</v>
      </c>
      <c r="C9" s="8">
        <v>65000</v>
      </c>
      <c r="H9" t="s">
        <v>68</v>
      </c>
      <c r="I9" t="str">
        <f>LOWER(B5)</f>
        <v>mary alice</v>
      </c>
      <c r="L9" t="s">
        <v>69</v>
      </c>
      <c r="M9">
        <f t="shared" si="0"/>
        <v>5</v>
      </c>
      <c r="N9" t="s">
        <v>70</v>
      </c>
    </row>
    <row r="10" spans="1:14" x14ac:dyDescent="0.25">
      <c r="A10" s="8">
        <v>2206</v>
      </c>
      <c r="B10" s="8" t="s">
        <v>71</v>
      </c>
      <c r="C10" s="8">
        <v>56000</v>
      </c>
      <c r="H10" t="s">
        <v>72</v>
      </c>
      <c r="I10" t="str">
        <f>UPPER(B7)</f>
        <v>PRADYUMNA</v>
      </c>
      <c r="L10" t="s">
        <v>73</v>
      </c>
      <c r="M10">
        <f t="shared" si="0"/>
        <v>5</v>
      </c>
      <c r="N10" t="s">
        <v>70</v>
      </c>
    </row>
    <row r="11" spans="1:14" x14ac:dyDescent="0.25">
      <c r="L11" t="s">
        <v>74</v>
      </c>
      <c r="M11">
        <f t="shared" si="0"/>
        <v>12</v>
      </c>
      <c r="N11" t="s">
        <v>75</v>
      </c>
    </row>
    <row r="12" spans="1:14" x14ac:dyDescent="0.25">
      <c r="B12" s="8" t="s">
        <v>76</v>
      </c>
      <c r="C12" t="str">
        <f>LEFT(B5,4)</f>
        <v>Mary</v>
      </c>
      <c r="M12">
        <f t="shared" si="0"/>
        <v>0</v>
      </c>
      <c r="N12" t="s">
        <v>77</v>
      </c>
    </row>
    <row r="13" spans="1:14" x14ac:dyDescent="0.25">
      <c r="B13" s="8" t="s">
        <v>78</v>
      </c>
      <c r="C13" t="str">
        <f>RIGHT(B10,4)</f>
        <v>Mojo</v>
      </c>
      <c r="L13">
        <v>2000</v>
      </c>
      <c r="M13">
        <f t="shared" si="0"/>
        <v>4</v>
      </c>
      <c r="N13" t="s">
        <v>79</v>
      </c>
    </row>
    <row r="14" spans="1:14" x14ac:dyDescent="0.25">
      <c r="B14" s="8" t="s">
        <v>80</v>
      </c>
      <c r="C14" t="str">
        <f>MID(B7,5,3)</f>
        <v>yum</v>
      </c>
      <c r="L14" t="s">
        <v>81</v>
      </c>
      <c r="M14">
        <f t="shared" si="0"/>
        <v>8</v>
      </c>
    </row>
    <row r="15" spans="1:14" x14ac:dyDescent="0.25">
      <c r="B15" s="8" t="s">
        <v>82</v>
      </c>
      <c r="C15" t="str">
        <f>CONCATENATE(B5, " - ", C5)</f>
        <v>Mary Alice - 54000</v>
      </c>
      <c r="L15">
        <v>200.99</v>
      </c>
      <c r="M15">
        <f t="shared" si="0"/>
        <v>6</v>
      </c>
    </row>
    <row r="16" spans="1:14" x14ac:dyDescent="0.25">
      <c r="L16">
        <v>-2.4500000000000002</v>
      </c>
      <c r="M16">
        <f t="shared" si="0"/>
        <v>5</v>
      </c>
      <c r="N1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4E44-913E-4818-A0A2-6A49D2C0BFCB}">
  <dimension ref="A1:L13"/>
  <sheetViews>
    <sheetView workbookViewId="0">
      <selection activeCell="H18" sqref="H18"/>
    </sheetView>
  </sheetViews>
  <sheetFormatPr defaultRowHeight="15" x14ac:dyDescent="0.25"/>
  <cols>
    <col min="1" max="1" width="7" bestFit="1" customWidth="1"/>
    <col min="2" max="2" width="13.85546875" bestFit="1" customWidth="1"/>
    <col min="3" max="5" width="14.7109375" bestFit="1" customWidth="1"/>
    <col min="6" max="6" width="17.28515625" bestFit="1" customWidth="1"/>
    <col min="9" max="9" width="13.7109375" bestFit="1" customWidth="1"/>
    <col min="10" max="10" width="9" bestFit="1" customWidth="1"/>
    <col min="11" max="11" width="5.7109375" bestFit="1" customWidth="1"/>
    <col min="12" max="12" width="35.140625" bestFit="1" customWidth="1"/>
  </cols>
  <sheetData>
    <row r="1" spans="1:12" x14ac:dyDescent="0.25">
      <c r="A1" s="1" t="s">
        <v>84</v>
      </c>
      <c r="B1" s="1" t="s">
        <v>85</v>
      </c>
      <c r="D1" s="1" t="s">
        <v>86</v>
      </c>
      <c r="E1" s="1"/>
      <c r="I1" s="1" t="s">
        <v>87</v>
      </c>
    </row>
    <row r="2" spans="1:12" x14ac:dyDescent="0.25">
      <c r="F2" t="s">
        <v>88</v>
      </c>
      <c r="G2" t="s">
        <v>89</v>
      </c>
    </row>
    <row r="3" spans="1:12" x14ac:dyDescent="0.25">
      <c r="B3" s="7" t="s">
        <v>90</v>
      </c>
      <c r="C3" s="7" t="s">
        <v>91</v>
      </c>
      <c r="D3" s="7" t="s">
        <v>92</v>
      </c>
      <c r="E3" s="7" t="s">
        <v>93</v>
      </c>
      <c r="F3" s="7" t="s">
        <v>94</v>
      </c>
      <c r="G3" t="s">
        <v>86</v>
      </c>
      <c r="I3" t="s">
        <v>95</v>
      </c>
      <c r="J3" t="s">
        <v>96</v>
      </c>
      <c r="K3" t="s">
        <v>97</v>
      </c>
      <c r="L3" t="s">
        <v>98</v>
      </c>
    </row>
    <row r="4" spans="1:12" x14ac:dyDescent="0.25">
      <c r="B4" t="s">
        <v>99</v>
      </c>
      <c r="C4" t="s">
        <v>100</v>
      </c>
      <c r="D4" t="s">
        <v>100</v>
      </c>
      <c r="E4" t="s">
        <v>101</v>
      </c>
      <c r="F4" t="b">
        <f>AND(C4="Yes",D4="Yes",E4="Yes")</f>
        <v>0</v>
      </c>
      <c r="G4" t="b">
        <f>OR(C4="Yes",D4="Yes",E4="Yes")</f>
        <v>1</v>
      </c>
      <c r="I4" t="s">
        <v>102</v>
      </c>
      <c r="J4" t="s">
        <v>103</v>
      </c>
      <c r="K4">
        <v>45</v>
      </c>
      <c r="L4" t="b">
        <f>_xlfn.XOR(J4="Fire",K4&lt;60)</f>
        <v>1</v>
      </c>
    </row>
    <row r="5" spans="1:12" x14ac:dyDescent="0.25">
      <c r="B5" t="s">
        <v>104</v>
      </c>
      <c r="C5" t="s">
        <v>100</v>
      </c>
      <c r="D5" t="s">
        <v>100</v>
      </c>
      <c r="E5" t="s">
        <v>100</v>
      </c>
      <c r="F5" t="b">
        <f>AND(C5="Yes",D5="Yes",E5="Yes")</f>
        <v>1</v>
      </c>
      <c r="G5" t="b">
        <f t="shared" ref="G5:G13" si="0">OR(C5="Yes",D5="Yes",E5="Yes")</f>
        <v>1</v>
      </c>
      <c r="I5" t="s">
        <v>105</v>
      </c>
      <c r="J5" t="s">
        <v>103</v>
      </c>
      <c r="K5">
        <v>60</v>
      </c>
      <c r="L5" t="b">
        <f t="shared" ref="L5:L12" si="1">_xlfn.XOR(J5="Fire",K5&lt;60)</f>
        <v>0</v>
      </c>
    </row>
    <row r="6" spans="1:12" x14ac:dyDescent="0.25">
      <c r="B6" t="s">
        <v>106</v>
      </c>
      <c r="C6" t="s">
        <v>100</v>
      </c>
      <c r="D6" t="s">
        <v>100</v>
      </c>
      <c r="E6" t="s">
        <v>101</v>
      </c>
      <c r="F6" t="b">
        <f t="shared" ref="F6:F13" si="2">AND(C6="Yes",D6="Yes",E6="Yes")</f>
        <v>0</v>
      </c>
      <c r="G6" t="b">
        <f t="shared" si="0"/>
        <v>1</v>
      </c>
      <c r="I6" t="s">
        <v>107</v>
      </c>
      <c r="J6" t="s">
        <v>103</v>
      </c>
      <c r="K6">
        <v>80</v>
      </c>
      <c r="L6" t="b">
        <f t="shared" si="1"/>
        <v>0</v>
      </c>
    </row>
    <row r="7" spans="1:12" x14ac:dyDescent="0.25">
      <c r="B7" t="s">
        <v>108</v>
      </c>
      <c r="C7" t="s">
        <v>100</v>
      </c>
      <c r="D7" t="s">
        <v>100</v>
      </c>
      <c r="E7" t="s">
        <v>101</v>
      </c>
      <c r="F7" t="b">
        <f t="shared" si="2"/>
        <v>0</v>
      </c>
      <c r="G7" t="b">
        <f t="shared" si="0"/>
        <v>1</v>
      </c>
      <c r="I7" t="s">
        <v>109</v>
      </c>
      <c r="J7" t="s">
        <v>110</v>
      </c>
      <c r="K7">
        <v>69</v>
      </c>
      <c r="L7" t="b">
        <f t="shared" si="1"/>
        <v>1</v>
      </c>
    </row>
    <row r="8" spans="1:12" x14ac:dyDescent="0.25">
      <c r="B8" t="s">
        <v>111</v>
      </c>
      <c r="C8" t="s">
        <v>101</v>
      </c>
      <c r="D8" t="s">
        <v>100</v>
      </c>
      <c r="E8" t="s">
        <v>100</v>
      </c>
      <c r="F8" t="b">
        <f t="shared" si="2"/>
        <v>0</v>
      </c>
      <c r="G8" t="b">
        <f t="shared" si="0"/>
        <v>1</v>
      </c>
      <c r="I8" t="s">
        <v>112</v>
      </c>
      <c r="J8" t="s">
        <v>110</v>
      </c>
      <c r="K8">
        <v>58</v>
      </c>
      <c r="L8" t="b">
        <f t="shared" si="1"/>
        <v>0</v>
      </c>
    </row>
    <row r="9" spans="1:12" x14ac:dyDescent="0.25">
      <c r="B9" t="s">
        <v>113</v>
      </c>
      <c r="C9" t="s">
        <v>100</v>
      </c>
      <c r="D9" t="s">
        <v>100</v>
      </c>
      <c r="E9" t="s">
        <v>100</v>
      </c>
      <c r="F9" t="b">
        <f t="shared" si="2"/>
        <v>1</v>
      </c>
      <c r="G9" t="b">
        <f t="shared" si="0"/>
        <v>1</v>
      </c>
      <c r="I9" t="s">
        <v>114</v>
      </c>
      <c r="J9" t="s">
        <v>110</v>
      </c>
      <c r="K9">
        <v>78</v>
      </c>
      <c r="L9" t="b">
        <f t="shared" si="1"/>
        <v>1</v>
      </c>
    </row>
    <row r="10" spans="1:12" x14ac:dyDescent="0.25">
      <c r="B10" t="s">
        <v>115</v>
      </c>
      <c r="C10" t="s">
        <v>100</v>
      </c>
      <c r="D10" t="s">
        <v>101</v>
      </c>
      <c r="E10" t="s">
        <v>100</v>
      </c>
      <c r="F10" t="b">
        <f t="shared" si="2"/>
        <v>0</v>
      </c>
      <c r="G10" t="b">
        <f t="shared" si="0"/>
        <v>1</v>
      </c>
      <c r="I10" t="s">
        <v>116</v>
      </c>
      <c r="J10" t="s">
        <v>117</v>
      </c>
      <c r="K10">
        <v>44</v>
      </c>
      <c r="L10" t="b">
        <f t="shared" si="1"/>
        <v>1</v>
      </c>
    </row>
    <row r="11" spans="1:12" x14ac:dyDescent="0.25">
      <c r="B11" t="s">
        <v>118</v>
      </c>
      <c r="C11" t="s">
        <v>100</v>
      </c>
      <c r="D11" t="s">
        <v>100</v>
      </c>
      <c r="E11" t="s">
        <v>101</v>
      </c>
      <c r="F11" t="b">
        <f t="shared" si="2"/>
        <v>0</v>
      </c>
      <c r="G11" t="b">
        <f t="shared" si="0"/>
        <v>1</v>
      </c>
      <c r="I11" t="s">
        <v>119</v>
      </c>
      <c r="J11" t="s">
        <v>117</v>
      </c>
      <c r="K11">
        <v>59</v>
      </c>
      <c r="L11" t="b">
        <f t="shared" si="1"/>
        <v>1</v>
      </c>
    </row>
    <row r="12" spans="1:12" x14ac:dyDescent="0.25">
      <c r="B12" t="s">
        <v>120</v>
      </c>
      <c r="C12" t="s">
        <v>100</v>
      </c>
      <c r="D12" t="s">
        <v>100</v>
      </c>
      <c r="E12" t="s">
        <v>100</v>
      </c>
      <c r="F12" t="b">
        <f t="shared" si="2"/>
        <v>1</v>
      </c>
      <c r="G12" t="b">
        <f t="shared" si="0"/>
        <v>1</v>
      </c>
      <c r="I12" t="s">
        <v>121</v>
      </c>
      <c r="J12" t="s">
        <v>117</v>
      </c>
      <c r="K12">
        <v>79</v>
      </c>
      <c r="L12" t="b">
        <f t="shared" si="1"/>
        <v>0</v>
      </c>
    </row>
    <row r="13" spans="1:12" x14ac:dyDescent="0.25">
      <c r="B13" t="s">
        <v>122</v>
      </c>
      <c r="C13" t="s">
        <v>101</v>
      </c>
      <c r="D13" t="s">
        <v>101</v>
      </c>
      <c r="E13" t="s">
        <v>101</v>
      </c>
      <c r="F13" t="b">
        <f t="shared" si="2"/>
        <v>0</v>
      </c>
      <c r="G13" t="b">
        <f t="shared" si="0"/>
        <v>0</v>
      </c>
      <c r="I13" t="s">
        <v>123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4D93-7E37-47C5-B249-3D12600A53CC}">
  <dimension ref="A1:B8"/>
  <sheetViews>
    <sheetView zoomScale="166" zoomScaleNormal="166" workbookViewId="0">
      <selection activeCell="F9" sqref="F9"/>
    </sheetView>
  </sheetViews>
  <sheetFormatPr defaultRowHeight="15" x14ac:dyDescent="0.25"/>
  <cols>
    <col min="1" max="1" width="25" bestFit="1" customWidth="1"/>
    <col min="2" max="2" width="10.7109375" customWidth="1"/>
  </cols>
  <sheetData>
    <row r="1" spans="1:2" x14ac:dyDescent="0.25">
      <c r="A1" t="s">
        <v>124</v>
      </c>
    </row>
    <row r="3" spans="1:2" x14ac:dyDescent="0.25">
      <c r="A3" s="7" t="s">
        <v>125</v>
      </c>
    </row>
    <row r="4" spans="1:2" x14ac:dyDescent="0.25">
      <c r="A4" s="9">
        <v>44977</v>
      </c>
      <c r="B4" s="10"/>
    </row>
    <row r="5" spans="1:2" x14ac:dyDescent="0.25">
      <c r="A5" s="11">
        <v>44645</v>
      </c>
    </row>
    <row r="6" spans="1:2" x14ac:dyDescent="0.25">
      <c r="A6" s="11">
        <v>44708</v>
      </c>
    </row>
    <row r="7" spans="1:2" x14ac:dyDescent="0.25">
      <c r="A7" s="11">
        <v>44607</v>
      </c>
    </row>
    <row r="8" spans="1:2" x14ac:dyDescent="0.25">
      <c r="A8" s="11">
        <v>43508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66E0-EE0B-491A-AB30-E02EBA4666C8}">
  <dimension ref="A1:G8"/>
  <sheetViews>
    <sheetView workbookViewId="0">
      <selection activeCell="G17" sqref="G17"/>
    </sheetView>
  </sheetViews>
  <sheetFormatPr defaultRowHeight="15" x14ac:dyDescent="0.25"/>
  <cols>
    <col min="1" max="1" width="12.140625" bestFit="1" customWidth="1"/>
    <col min="2" max="3" width="15.7109375" bestFit="1" customWidth="1"/>
    <col min="6" max="6" width="12.140625" bestFit="1" customWidth="1"/>
    <col min="7" max="7" width="15.7109375" bestFit="1" customWidth="1"/>
  </cols>
  <sheetData>
    <row r="1" spans="1:7" x14ac:dyDescent="0.25">
      <c r="A1" s="45" t="s">
        <v>50</v>
      </c>
      <c r="B1" s="46"/>
      <c r="C1" s="46"/>
      <c r="D1" s="46"/>
      <c r="F1" s="45" t="s">
        <v>126</v>
      </c>
      <c r="G1" s="45"/>
    </row>
    <row r="2" spans="1:7" x14ac:dyDescent="0.25">
      <c r="A2" s="7" t="s">
        <v>51</v>
      </c>
      <c r="B2" s="7" t="s">
        <v>52</v>
      </c>
      <c r="C2" s="7" t="s">
        <v>53</v>
      </c>
      <c r="D2" s="13"/>
      <c r="F2" s="7" t="s">
        <v>51</v>
      </c>
      <c r="G2" s="7" t="s">
        <v>53</v>
      </c>
    </row>
    <row r="3" spans="1:7" x14ac:dyDescent="0.25">
      <c r="A3" s="12">
        <v>1</v>
      </c>
      <c r="B3" s="8" t="s">
        <v>54</v>
      </c>
      <c r="C3" s="14">
        <f>VLOOKUP(A3,$F$3:$G$8,2,FALSE)</f>
        <v>65000</v>
      </c>
      <c r="F3" s="12">
        <v>1</v>
      </c>
      <c r="G3">
        <v>65000</v>
      </c>
    </row>
    <row r="4" spans="1:7" x14ac:dyDescent="0.25">
      <c r="A4" s="12">
        <v>3</v>
      </c>
      <c r="B4" s="8" t="s">
        <v>57</v>
      </c>
      <c r="C4">
        <f t="shared" ref="C4:C8" si="0">VLOOKUP(A4,$F$3:$G$8,2,FALSE)</f>
        <v>70000</v>
      </c>
      <c r="F4" s="12">
        <v>2</v>
      </c>
      <c r="G4">
        <v>56000</v>
      </c>
    </row>
    <row r="5" spans="1:7" x14ac:dyDescent="0.25">
      <c r="A5" s="12">
        <v>4</v>
      </c>
      <c r="B5" s="8" t="s">
        <v>61</v>
      </c>
      <c r="C5">
        <f t="shared" si="0"/>
        <v>120000</v>
      </c>
      <c r="F5" s="12">
        <v>3</v>
      </c>
      <c r="G5">
        <v>70000</v>
      </c>
    </row>
    <row r="6" spans="1:7" x14ac:dyDescent="0.25">
      <c r="A6" s="12">
        <v>6</v>
      </c>
      <c r="B6" s="8" t="s">
        <v>64</v>
      </c>
      <c r="C6">
        <f t="shared" si="0"/>
        <v>89000</v>
      </c>
      <c r="F6" s="12">
        <v>4</v>
      </c>
      <c r="G6">
        <v>120000</v>
      </c>
    </row>
    <row r="7" spans="1:7" x14ac:dyDescent="0.25">
      <c r="A7" s="12">
        <v>2</v>
      </c>
      <c r="B7" s="8" t="s">
        <v>67</v>
      </c>
      <c r="C7">
        <f t="shared" si="0"/>
        <v>56000</v>
      </c>
      <c r="F7" s="12">
        <v>5</v>
      </c>
      <c r="G7">
        <v>78000</v>
      </c>
    </row>
    <row r="8" spans="1:7" x14ac:dyDescent="0.25">
      <c r="A8" s="12">
        <v>5</v>
      </c>
      <c r="B8" s="8" t="s">
        <v>71</v>
      </c>
      <c r="C8">
        <f t="shared" si="0"/>
        <v>78000</v>
      </c>
      <c r="F8" s="12">
        <v>6</v>
      </c>
      <c r="G8">
        <v>89000</v>
      </c>
    </row>
  </sheetData>
  <mergeCells count="2">
    <mergeCell ref="A1:D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03A6-036E-4C45-8E1D-7E388EAFA484}">
  <dimension ref="A1:F13"/>
  <sheetViews>
    <sheetView workbookViewId="0">
      <selection activeCell="L16" sqref="L16"/>
    </sheetView>
  </sheetViews>
  <sheetFormatPr defaultRowHeight="15" x14ac:dyDescent="0.25"/>
  <cols>
    <col min="1" max="1" width="9.85546875" bestFit="1" customWidth="1"/>
    <col min="2" max="2" width="8.85546875" customWidth="1"/>
  </cols>
  <sheetData>
    <row r="1" spans="1:6" x14ac:dyDescent="0.25">
      <c r="A1" s="1" t="s">
        <v>127</v>
      </c>
    </row>
    <row r="2" spans="1:6" x14ac:dyDescent="0.25">
      <c r="A2" s="47" t="s">
        <v>128</v>
      </c>
      <c r="B2" s="47"/>
      <c r="C2" s="47"/>
      <c r="D2" s="47"/>
      <c r="E2" s="47"/>
      <c r="F2" s="47"/>
    </row>
    <row r="3" spans="1:6" x14ac:dyDescent="0.25">
      <c r="A3" s="7" t="s">
        <v>129</v>
      </c>
      <c r="B3" s="12">
        <v>112</v>
      </c>
      <c r="C3" s="12">
        <v>113</v>
      </c>
      <c r="D3" s="12">
        <v>114</v>
      </c>
      <c r="E3" s="12">
        <v>115</v>
      </c>
      <c r="F3" s="12">
        <v>116</v>
      </c>
    </row>
    <row r="4" spans="1:6" x14ac:dyDescent="0.25">
      <c r="A4" s="7" t="s">
        <v>130</v>
      </c>
      <c r="B4" s="12" t="s">
        <v>25</v>
      </c>
      <c r="C4" s="12" t="s">
        <v>14</v>
      </c>
      <c r="D4" s="12" t="s">
        <v>35</v>
      </c>
      <c r="E4" s="12" t="s">
        <v>131</v>
      </c>
      <c r="F4" s="12" t="s">
        <v>42</v>
      </c>
    </row>
    <row r="5" spans="1:6" x14ac:dyDescent="0.25">
      <c r="A5" s="7" t="s">
        <v>13</v>
      </c>
      <c r="B5" s="12">
        <v>56000</v>
      </c>
      <c r="C5" s="12">
        <v>55000</v>
      </c>
      <c r="D5" s="12">
        <v>67500</v>
      </c>
      <c r="E5" s="12">
        <v>45000</v>
      </c>
      <c r="F5" s="12">
        <v>68500</v>
      </c>
    </row>
    <row r="8" spans="1:6" x14ac:dyDescent="0.25">
      <c r="A8" s="7" t="s">
        <v>129</v>
      </c>
      <c r="B8" s="7" t="s">
        <v>13</v>
      </c>
    </row>
    <row r="9" spans="1:6" x14ac:dyDescent="0.25">
      <c r="A9">
        <v>112</v>
      </c>
      <c r="B9" s="14">
        <f>HLOOKUP(A9,$A$3:$F$5,3,FALSE)</f>
        <v>56000</v>
      </c>
    </row>
    <row r="10" spans="1:6" x14ac:dyDescent="0.25">
      <c r="A10">
        <v>113</v>
      </c>
      <c r="B10">
        <f t="shared" ref="B10:B13" si="0">HLOOKUP(A10,$A$3:$F$5,3,FALSE)</f>
        <v>55000</v>
      </c>
    </row>
    <row r="11" spans="1:6" x14ac:dyDescent="0.25">
      <c r="A11">
        <v>114</v>
      </c>
      <c r="B11">
        <f t="shared" si="0"/>
        <v>67500</v>
      </c>
    </row>
    <row r="12" spans="1:6" x14ac:dyDescent="0.25">
      <c r="A12">
        <v>115</v>
      </c>
      <c r="B12">
        <f t="shared" si="0"/>
        <v>45000</v>
      </c>
    </row>
    <row r="13" spans="1:6" x14ac:dyDescent="0.25">
      <c r="A13">
        <v>116</v>
      </c>
      <c r="B13">
        <f t="shared" si="0"/>
        <v>68500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8FFC-F248-48DF-8964-FEE5BFB05258}">
  <dimension ref="A1:F12"/>
  <sheetViews>
    <sheetView workbookViewId="0">
      <selection activeCell="L17" sqref="L17"/>
    </sheetView>
  </sheetViews>
  <sheetFormatPr defaultRowHeight="15" x14ac:dyDescent="0.25"/>
  <cols>
    <col min="1" max="1" width="11.140625" bestFit="1" customWidth="1"/>
    <col min="3" max="3" width="9.85546875" bestFit="1" customWidth="1"/>
    <col min="4" max="4" width="10.85546875" bestFit="1" customWidth="1"/>
  </cols>
  <sheetData>
    <row r="1" spans="1:6" x14ac:dyDescent="0.25">
      <c r="A1" s="47" t="s">
        <v>128</v>
      </c>
      <c r="B1" s="47"/>
      <c r="C1" s="47"/>
      <c r="D1" s="47"/>
      <c r="E1" s="47"/>
      <c r="F1" s="47"/>
    </row>
    <row r="2" spans="1:6" x14ac:dyDescent="0.25">
      <c r="A2" s="7" t="s">
        <v>129</v>
      </c>
      <c r="B2" s="12">
        <v>112</v>
      </c>
      <c r="C2" s="12">
        <v>113</v>
      </c>
      <c r="D2" s="12">
        <v>114</v>
      </c>
      <c r="E2" s="12">
        <v>115</v>
      </c>
      <c r="F2" s="12">
        <v>116</v>
      </c>
    </row>
    <row r="3" spans="1:6" x14ac:dyDescent="0.25">
      <c r="A3" s="7" t="s">
        <v>130</v>
      </c>
      <c r="B3" s="12" t="s">
        <v>25</v>
      </c>
      <c r="C3" s="12" t="s">
        <v>14</v>
      </c>
      <c r="D3" s="12" t="s">
        <v>35</v>
      </c>
      <c r="E3" s="12" t="s">
        <v>131</v>
      </c>
      <c r="F3" s="12" t="s">
        <v>42</v>
      </c>
    </row>
    <row r="4" spans="1:6" x14ac:dyDescent="0.25">
      <c r="A4" s="7" t="s">
        <v>13</v>
      </c>
      <c r="B4" s="12">
        <v>56000</v>
      </c>
      <c r="C4" s="12">
        <v>55000</v>
      </c>
      <c r="D4" s="12">
        <v>67500</v>
      </c>
      <c r="E4" s="12">
        <v>45000</v>
      </c>
      <c r="F4" s="12">
        <v>68500</v>
      </c>
    </row>
    <row r="5" spans="1:6" x14ac:dyDescent="0.25">
      <c r="A5" s="7" t="s">
        <v>132</v>
      </c>
      <c r="B5" s="12" t="s">
        <v>18</v>
      </c>
      <c r="C5" s="12" t="s">
        <v>133</v>
      </c>
      <c r="D5" s="12" t="s">
        <v>134</v>
      </c>
      <c r="E5" s="12" t="s">
        <v>135</v>
      </c>
      <c r="F5" s="12" t="s">
        <v>133</v>
      </c>
    </row>
    <row r="7" spans="1:6" x14ac:dyDescent="0.25">
      <c r="A7" s="7" t="s">
        <v>129</v>
      </c>
      <c r="B7" s="7" t="s">
        <v>13</v>
      </c>
      <c r="C7" s="7" t="s">
        <v>130</v>
      </c>
      <c r="D7" s="7" t="s">
        <v>132</v>
      </c>
    </row>
    <row r="8" spans="1:6" x14ac:dyDescent="0.25">
      <c r="A8">
        <v>112</v>
      </c>
      <c r="B8" s="14">
        <f>HLOOKUP($A8,$B$2:$F$5,MATCH(B$7,$A$2:$A$5,0),0)</f>
        <v>56000</v>
      </c>
      <c r="C8" t="str">
        <f t="shared" ref="C8:D12" si="0">HLOOKUP($A8,$B$2:$F$5,MATCH(C$7,$A$2:$A$5,0),0)</f>
        <v>Mary</v>
      </c>
      <c r="D8" t="str">
        <f t="shared" si="0"/>
        <v>Sales</v>
      </c>
    </row>
    <row r="9" spans="1:6" x14ac:dyDescent="0.25">
      <c r="A9">
        <v>113</v>
      </c>
      <c r="B9">
        <f t="shared" ref="B9:B12" si="1">HLOOKUP($A9,$B$2:$F$5,MATCH(B$7,$A$2:$A$5,0),0)</f>
        <v>55000</v>
      </c>
      <c r="C9" t="str">
        <f t="shared" si="0"/>
        <v>Alice</v>
      </c>
      <c r="D9" t="str">
        <f t="shared" si="0"/>
        <v>IT</v>
      </c>
    </row>
    <row r="10" spans="1:6" x14ac:dyDescent="0.25">
      <c r="A10">
        <v>114</v>
      </c>
      <c r="B10">
        <f t="shared" si="1"/>
        <v>67500</v>
      </c>
      <c r="C10" t="str">
        <f t="shared" si="0"/>
        <v>Perry</v>
      </c>
      <c r="D10" t="str">
        <f t="shared" si="0"/>
        <v>Marketing</v>
      </c>
    </row>
    <row r="11" spans="1:6" x14ac:dyDescent="0.25">
      <c r="A11">
        <v>115</v>
      </c>
      <c r="B11">
        <f t="shared" si="1"/>
        <v>45000</v>
      </c>
      <c r="C11" t="str">
        <f t="shared" si="0"/>
        <v>Ahmed</v>
      </c>
      <c r="D11" t="str">
        <f t="shared" si="0"/>
        <v>HR</v>
      </c>
    </row>
    <row r="12" spans="1:6" x14ac:dyDescent="0.25">
      <c r="A12">
        <v>116</v>
      </c>
      <c r="B12">
        <f t="shared" si="1"/>
        <v>68500</v>
      </c>
      <c r="C12" t="str">
        <f t="shared" si="0"/>
        <v>Bob</v>
      </c>
      <c r="D12" t="str">
        <f t="shared" si="0"/>
        <v>IT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9DDC-8843-440C-BDDD-76C784082289}">
  <dimension ref="A1:F9"/>
  <sheetViews>
    <sheetView workbookViewId="0">
      <selection activeCell="N16" sqref="N16"/>
    </sheetView>
  </sheetViews>
  <sheetFormatPr defaultRowHeight="15" x14ac:dyDescent="0.25"/>
  <sheetData>
    <row r="1" spans="1:6" x14ac:dyDescent="0.25">
      <c r="A1" s="47" t="s">
        <v>128</v>
      </c>
      <c r="B1" s="47"/>
      <c r="C1" s="47"/>
      <c r="D1" s="47"/>
      <c r="E1" s="47"/>
      <c r="F1" s="47"/>
    </row>
    <row r="2" spans="1:6" x14ac:dyDescent="0.25">
      <c r="A2" s="7" t="s">
        <v>129</v>
      </c>
      <c r="B2" s="12">
        <v>112</v>
      </c>
      <c r="C2" s="12">
        <v>113</v>
      </c>
      <c r="D2" s="12">
        <v>114</v>
      </c>
      <c r="E2" s="12">
        <v>115</v>
      </c>
      <c r="F2" s="12">
        <v>116</v>
      </c>
    </row>
    <row r="3" spans="1:6" x14ac:dyDescent="0.25">
      <c r="A3" s="7" t="s">
        <v>130</v>
      </c>
      <c r="B3" s="12" t="s">
        <v>25</v>
      </c>
      <c r="C3" s="12" t="s">
        <v>14</v>
      </c>
      <c r="D3" s="12" t="s">
        <v>35</v>
      </c>
      <c r="E3" s="12" t="s">
        <v>131</v>
      </c>
      <c r="F3" s="12" t="s">
        <v>42</v>
      </c>
    </row>
    <row r="4" spans="1:6" x14ac:dyDescent="0.25">
      <c r="A4" s="7" t="s">
        <v>13</v>
      </c>
      <c r="B4" s="12">
        <v>56000</v>
      </c>
      <c r="C4" s="12">
        <v>55000</v>
      </c>
      <c r="D4" s="12">
        <v>67500</v>
      </c>
      <c r="E4" s="12">
        <v>45000</v>
      </c>
      <c r="F4" s="12">
        <v>68500</v>
      </c>
    </row>
    <row r="5" spans="1:6" x14ac:dyDescent="0.25">
      <c r="A5" s="7" t="s">
        <v>132</v>
      </c>
      <c r="B5" s="12" t="s">
        <v>18</v>
      </c>
      <c r="C5" s="12" t="s">
        <v>133</v>
      </c>
      <c r="D5" s="12" t="s">
        <v>134</v>
      </c>
      <c r="E5" s="12" t="s">
        <v>135</v>
      </c>
      <c r="F5" s="12" t="s">
        <v>133</v>
      </c>
    </row>
    <row r="8" spans="1:6" x14ac:dyDescent="0.25">
      <c r="A8" s="7" t="s">
        <v>129</v>
      </c>
      <c r="B8" s="12">
        <v>112</v>
      </c>
      <c r="C8" s="12">
        <v>113</v>
      </c>
      <c r="D8" s="12">
        <v>114</v>
      </c>
      <c r="E8" s="12">
        <v>115</v>
      </c>
      <c r="F8" s="12">
        <v>116</v>
      </c>
    </row>
    <row r="9" spans="1:6" x14ac:dyDescent="0.25">
      <c r="A9" s="7" t="s">
        <v>13</v>
      </c>
      <c r="B9" s="14">
        <f>INDEX($B$4:$F4,MATCH(B$8,$B$2:$F$2,0))</f>
        <v>56000</v>
      </c>
      <c r="C9">
        <f>INDEX($B$4:$F4,MATCH(C$8,$B$2:$F$2,0))</f>
        <v>55000</v>
      </c>
      <c r="D9">
        <f>INDEX($B$4:$F4,MATCH(D$8,$B$2:$F$2,0))</f>
        <v>67500</v>
      </c>
      <c r="E9">
        <f>INDEX($B$4:$F4,MATCH(E$8,$B$2:$F$2,0))</f>
        <v>45000</v>
      </c>
      <c r="F9">
        <f>INDEX($B$4:$F4,MATCH(F$8,$B$2:$F$2,0))</f>
        <v>68500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0499-DE5E-4C76-9960-6FFD9CD6BD72}">
  <dimension ref="A1:I48"/>
  <sheetViews>
    <sheetView workbookViewId="0">
      <selection activeCell="I22" sqref="I22"/>
    </sheetView>
  </sheetViews>
  <sheetFormatPr defaultRowHeight="15" x14ac:dyDescent="0.25"/>
  <cols>
    <col min="1" max="1" width="25.42578125" bestFit="1" customWidth="1"/>
    <col min="2" max="2" width="11.85546875" bestFit="1" customWidth="1"/>
    <col min="4" max="4" width="10.140625" bestFit="1" customWidth="1"/>
    <col min="5" max="5" width="40.42578125" bestFit="1" customWidth="1"/>
    <col min="9" max="9" width="37.140625" bestFit="1" customWidth="1"/>
  </cols>
  <sheetData>
    <row r="1" spans="1:9" x14ac:dyDescent="0.25">
      <c r="A1" s="1" t="s">
        <v>136</v>
      </c>
    </row>
    <row r="3" spans="1:9" x14ac:dyDescent="0.25">
      <c r="B3" s="7" t="s">
        <v>137</v>
      </c>
      <c r="C3" s="7" t="s">
        <v>138</v>
      </c>
      <c r="D3" s="7" t="s">
        <v>139</v>
      </c>
      <c r="F3" s="1" t="s">
        <v>140</v>
      </c>
    </row>
    <row r="4" spans="1:9" x14ac:dyDescent="0.25">
      <c r="B4" t="s">
        <v>141</v>
      </c>
      <c r="C4" t="s">
        <v>142</v>
      </c>
      <c r="D4" s="15" t="s">
        <v>143</v>
      </c>
      <c r="F4" s="16" t="s">
        <v>144</v>
      </c>
      <c r="G4" t="str">
        <f>_xlfn.XLOOKUP(F4,B4:B12,D4:D12)</f>
        <v>+52</v>
      </c>
    </row>
    <row r="5" spans="1:9" x14ac:dyDescent="0.25">
      <c r="B5" t="s">
        <v>145</v>
      </c>
      <c r="C5" t="s">
        <v>146</v>
      </c>
      <c r="D5" s="15" t="s">
        <v>147</v>
      </c>
    </row>
    <row r="6" spans="1:9" x14ac:dyDescent="0.25">
      <c r="B6" t="s">
        <v>148</v>
      </c>
      <c r="C6" t="s">
        <v>149</v>
      </c>
      <c r="D6" s="15" t="s">
        <v>150</v>
      </c>
    </row>
    <row r="7" spans="1:9" x14ac:dyDescent="0.25">
      <c r="B7" t="s">
        <v>151</v>
      </c>
      <c r="C7" t="s">
        <v>152</v>
      </c>
      <c r="D7" s="15" t="s">
        <v>153</v>
      </c>
    </row>
    <row r="8" spans="1:9" x14ac:dyDescent="0.25">
      <c r="B8" t="s">
        <v>154</v>
      </c>
      <c r="C8" t="s">
        <v>155</v>
      </c>
      <c r="D8" s="15" t="s">
        <v>156</v>
      </c>
    </row>
    <row r="9" spans="1:9" x14ac:dyDescent="0.25">
      <c r="B9" t="s">
        <v>157</v>
      </c>
      <c r="C9" t="s">
        <v>158</v>
      </c>
      <c r="D9" s="15" t="s">
        <v>159</v>
      </c>
    </row>
    <row r="10" spans="1:9" x14ac:dyDescent="0.25">
      <c r="B10" t="s">
        <v>160</v>
      </c>
      <c r="C10" t="s">
        <v>161</v>
      </c>
      <c r="D10" s="15" t="s">
        <v>162</v>
      </c>
    </row>
    <row r="11" spans="1:9" x14ac:dyDescent="0.25">
      <c r="B11" t="s">
        <v>163</v>
      </c>
      <c r="C11" t="s">
        <v>164</v>
      </c>
      <c r="D11" s="15" t="s">
        <v>165</v>
      </c>
    </row>
    <row r="12" spans="1:9" x14ac:dyDescent="0.25">
      <c r="B12" t="s">
        <v>144</v>
      </c>
      <c r="C12" t="s">
        <v>166</v>
      </c>
      <c r="D12" s="15" t="s">
        <v>167</v>
      </c>
    </row>
    <row r="15" spans="1:9" x14ac:dyDescent="0.25">
      <c r="A15" s="1" t="s">
        <v>168</v>
      </c>
    </row>
    <row r="16" spans="1:9" x14ac:dyDescent="0.25">
      <c r="I16" t="s">
        <v>169</v>
      </c>
    </row>
    <row r="17" spans="1:9" x14ac:dyDescent="0.25">
      <c r="B17" s="17" t="s">
        <v>170</v>
      </c>
      <c r="C17" s="17" t="s">
        <v>171</v>
      </c>
      <c r="E17" s="18" t="s">
        <v>172</v>
      </c>
      <c r="F17" s="18" t="s">
        <v>170</v>
      </c>
      <c r="G17" s="18" t="s">
        <v>171</v>
      </c>
      <c r="I17" s="13"/>
    </row>
    <row r="18" spans="1:9" x14ac:dyDescent="0.25">
      <c r="B18" s="12">
        <v>90</v>
      </c>
      <c r="C18" s="12" t="s">
        <v>173</v>
      </c>
      <c r="E18" t="s">
        <v>25</v>
      </c>
      <c r="F18">
        <v>98</v>
      </c>
      <c r="G18" s="12" t="e">
        <f>_xlfn.XLOOKUP(F18,$B$18:$B$23,$C$18:$C$23)</f>
        <v>#N/A</v>
      </c>
      <c r="I18" s="19" t="s">
        <v>174</v>
      </c>
    </row>
    <row r="19" spans="1:9" x14ac:dyDescent="0.25">
      <c r="B19" s="12">
        <v>80</v>
      </c>
      <c r="C19" s="12" t="s">
        <v>175</v>
      </c>
      <c r="E19" t="s">
        <v>35</v>
      </c>
      <c r="F19">
        <v>60</v>
      </c>
      <c r="G19" s="12" t="str">
        <f t="shared" ref="G19:G23" si="0">_xlfn.XLOOKUP(F19,$B$18:$B$23,$C$18:$C$23)</f>
        <v>D</v>
      </c>
    </row>
    <row r="20" spans="1:9" x14ac:dyDescent="0.25">
      <c r="B20" s="12">
        <v>70</v>
      </c>
      <c r="C20" s="12" t="s">
        <v>176</v>
      </c>
      <c r="E20" t="s">
        <v>20</v>
      </c>
      <c r="F20">
        <v>48</v>
      </c>
      <c r="G20" s="12" t="e">
        <f t="shared" si="0"/>
        <v>#N/A</v>
      </c>
    </row>
    <row r="21" spans="1:9" x14ac:dyDescent="0.25">
      <c r="B21" s="12">
        <v>60</v>
      </c>
      <c r="C21" s="12" t="s">
        <v>177</v>
      </c>
      <c r="E21" t="s">
        <v>178</v>
      </c>
      <c r="F21">
        <v>71</v>
      </c>
      <c r="G21" s="12" t="e">
        <f t="shared" si="0"/>
        <v>#N/A</v>
      </c>
    </row>
    <row r="22" spans="1:9" x14ac:dyDescent="0.25">
      <c r="B22" s="12">
        <v>40</v>
      </c>
      <c r="C22" s="12" t="s">
        <v>179</v>
      </c>
      <c r="E22" t="s">
        <v>180</v>
      </c>
      <c r="F22">
        <v>82</v>
      </c>
      <c r="G22" s="12" t="e">
        <f t="shared" si="0"/>
        <v>#N/A</v>
      </c>
    </row>
    <row r="23" spans="1:9" x14ac:dyDescent="0.25">
      <c r="B23" s="12">
        <v>0</v>
      </c>
      <c r="C23" s="12" t="s">
        <v>15</v>
      </c>
      <c r="E23" t="s">
        <v>181</v>
      </c>
      <c r="F23">
        <v>50</v>
      </c>
      <c r="G23" s="12" t="e">
        <f t="shared" si="0"/>
        <v>#N/A</v>
      </c>
    </row>
    <row r="27" spans="1:9" x14ac:dyDescent="0.25">
      <c r="A27" s="1" t="s">
        <v>168</v>
      </c>
      <c r="E27" s="1" t="s">
        <v>182</v>
      </c>
    </row>
    <row r="29" spans="1:9" x14ac:dyDescent="0.25">
      <c r="B29" s="17" t="s">
        <v>170</v>
      </c>
      <c r="C29" s="17" t="s">
        <v>171</v>
      </c>
      <c r="E29" s="18" t="s">
        <v>172</v>
      </c>
      <c r="F29" s="18" t="s">
        <v>170</v>
      </c>
      <c r="G29" s="18" t="s">
        <v>171</v>
      </c>
    </row>
    <row r="30" spans="1:9" x14ac:dyDescent="0.25">
      <c r="B30" s="12">
        <v>90</v>
      </c>
      <c r="C30" s="12" t="s">
        <v>173</v>
      </c>
      <c r="E30" t="s">
        <v>25</v>
      </c>
      <c r="F30">
        <v>98</v>
      </c>
      <c r="G30" s="20" t="str">
        <f>_xlfn.XLOOKUP(F30,$B$30:$B$35,$C$30:$C$35, ,-1)</f>
        <v>A</v>
      </c>
      <c r="H30" s="12"/>
    </row>
    <row r="31" spans="1:9" x14ac:dyDescent="0.25">
      <c r="B31" s="12">
        <v>80</v>
      </c>
      <c r="C31" s="12" t="s">
        <v>175</v>
      </c>
      <c r="E31" t="s">
        <v>35</v>
      </c>
      <c r="F31">
        <v>60</v>
      </c>
      <c r="G31" s="12" t="str">
        <f t="shared" ref="G31:G35" si="1">_xlfn.XLOOKUP(F31,$B$30:$B$35,$C$30:$C$35, ,-1)</f>
        <v>D</v>
      </c>
      <c r="H31" s="12"/>
    </row>
    <row r="32" spans="1:9" x14ac:dyDescent="0.25">
      <c r="B32" s="12">
        <v>70</v>
      </c>
      <c r="C32" s="12" t="s">
        <v>176</v>
      </c>
      <c r="E32" t="s">
        <v>20</v>
      </c>
      <c r="F32">
        <v>48</v>
      </c>
      <c r="G32" s="12" t="str">
        <f>_xlfn.XLOOKUP(F32,$B$30:$B$35,$C$30:$C$35, ,-1)</f>
        <v>E</v>
      </c>
      <c r="H32" s="12"/>
    </row>
    <row r="33" spans="1:8" x14ac:dyDescent="0.25">
      <c r="B33" s="12">
        <v>60</v>
      </c>
      <c r="C33" s="12" t="s">
        <v>177</v>
      </c>
      <c r="E33" t="s">
        <v>178</v>
      </c>
      <c r="F33">
        <v>71</v>
      </c>
      <c r="G33" s="12" t="str">
        <f t="shared" si="1"/>
        <v>C</v>
      </c>
      <c r="H33" s="12"/>
    </row>
    <row r="34" spans="1:8" x14ac:dyDescent="0.25">
      <c r="B34" s="12">
        <v>40</v>
      </c>
      <c r="C34" s="12" t="s">
        <v>179</v>
      </c>
      <c r="E34" t="s">
        <v>180</v>
      </c>
      <c r="F34">
        <v>82</v>
      </c>
      <c r="G34" s="12" t="str">
        <f t="shared" si="1"/>
        <v>B</v>
      </c>
      <c r="H34" s="12"/>
    </row>
    <row r="35" spans="1:8" x14ac:dyDescent="0.25">
      <c r="B35" s="12">
        <v>0</v>
      </c>
      <c r="C35" s="12" t="s">
        <v>15</v>
      </c>
      <c r="E35" t="s">
        <v>181</v>
      </c>
      <c r="F35">
        <v>50</v>
      </c>
      <c r="G35" s="12" t="str">
        <f t="shared" si="1"/>
        <v>E</v>
      </c>
      <c r="H35" s="12"/>
    </row>
    <row r="40" spans="1:8" x14ac:dyDescent="0.25">
      <c r="A40" s="1" t="s">
        <v>183</v>
      </c>
    </row>
    <row r="41" spans="1:8" x14ac:dyDescent="0.25">
      <c r="A41" s="18" t="s">
        <v>184</v>
      </c>
      <c r="B41" s="18" t="s">
        <v>185</v>
      </c>
      <c r="D41" s="1" t="s">
        <v>184</v>
      </c>
      <c r="E41" t="s">
        <v>186</v>
      </c>
    </row>
    <row r="42" spans="1:8" x14ac:dyDescent="0.25">
      <c r="A42" t="s">
        <v>187</v>
      </c>
      <c r="B42">
        <v>3100</v>
      </c>
      <c r="D42" s="1" t="s">
        <v>185</v>
      </c>
      <c r="E42" s="14">
        <f>_xlfn.XLOOKUP("*" &amp;E41&amp; "*",A42:A48,B42:B48, ,2)</f>
        <v>5000</v>
      </c>
      <c r="F42">
        <f>_xlfn.XLOOKUP(E41,A42:A48,B42:B48,"error",0)</f>
        <v>5000</v>
      </c>
      <c r="G42">
        <f>_xlfn.XLOOKUP(E41,A42:A48,B42:B48,0)</f>
        <v>5000</v>
      </c>
    </row>
    <row r="43" spans="1:8" x14ac:dyDescent="0.25">
      <c r="A43" t="s">
        <v>188</v>
      </c>
      <c r="B43">
        <v>2780</v>
      </c>
    </row>
    <row r="44" spans="1:8" x14ac:dyDescent="0.25">
      <c r="A44" t="s">
        <v>186</v>
      </c>
      <c r="B44">
        <v>5000</v>
      </c>
    </row>
    <row r="45" spans="1:8" x14ac:dyDescent="0.25">
      <c r="A45" t="s">
        <v>189</v>
      </c>
      <c r="B45">
        <v>3300</v>
      </c>
      <c r="D45" t="s">
        <v>190</v>
      </c>
      <c r="E45" s="21" t="s">
        <v>191</v>
      </c>
    </row>
    <row r="46" spans="1:8" x14ac:dyDescent="0.25">
      <c r="A46" t="s">
        <v>192</v>
      </c>
      <c r="B46">
        <v>3778</v>
      </c>
    </row>
    <row r="47" spans="1:8" x14ac:dyDescent="0.25">
      <c r="A47" t="s">
        <v>193</v>
      </c>
      <c r="B47">
        <v>4000</v>
      </c>
    </row>
    <row r="48" spans="1:8" x14ac:dyDescent="0.25">
      <c r="A48" t="s">
        <v>194</v>
      </c>
      <c r="B48">
        <v>4000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30DC-4FCF-43BC-AE01-46FB8DB94898}">
  <dimension ref="A1:D10"/>
  <sheetViews>
    <sheetView workbookViewId="0">
      <selection activeCell="F9" sqref="F9"/>
    </sheetView>
  </sheetViews>
  <sheetFormatPr defaultRowHeight="15" x14ac:dyDescent="0.25"/>
  <cols>
    <col min="1" max="1" width="6" bestFit="1" customWidth="1"/>
    <col min="2" max="2" width="15.7109375" bestFit="1" customWidth="1"/>
    <col min="3" max="3" width="11" bestFit="1" customWidth="1"/>
    <col min="4" max="4" width="10.5703125" bestFit="1" customWidth="1"/>
  </cols>
  <sheetData>
    <row r="1" spans="1:4" x14ac:dyDescent="0.25">
      <c r="A1" s="18" t="s">
        <v>149</v>
      </c>
      <c r="B1" s="18" t="s">
        <v>195</v>
      </c>
      <c r="C1" s="18" t="s">
        <v>196</v>
      </c>
      <c r="D1" s="18" t="s">
        <v>197</v>
      </c>
    </row>
    <row r="2" spans="1:4" x14ac:dyDescent="0.25">
      <c r="A2">
        <v>22260</v>
      </c>
      <c r="B2" s="8" t="s">
        <v>54</v>
      </c>
      <c r="C2" s="14" t="s">
        <v>25</v>
      </c>
      <c r="D2" t="s">
        <v>14</v>
      </c>
    </row>
    <row r="3" spans="1:4" x14ac:dyDescent="0.25">
      <c r="A3">
        <v>34544</v>
      </c>
      <c r="B3" s="8" t="s">
        <v>57</v>
      </c>
      <c r="C3" t="s">
        <v>20</v>
      </c>
      <c r="D3" t="s">
        <v>35</v>
      </c>
    </row>
    <row r="4" spans="1:4" x14ac:dyDescent="0.25">
      <c r="A4">
        <v>33344</v>
      </c>
      <c r="B4" s="8" t="s">
        <v>198</v>
      </c>
      <c r="C4" t="s">
        <v>61</v>
      </c>
      <c r="D4" t="s">
        <v>199</v>
      </c>
    </row>
    <row r="5" spans="1:4" x14ac:dyDescent="0.25">
      <c r="A5">
        <v>23233</v>
      </c>
      <c r="B5" s="8" t="s">
        <v>64</v>
      </c>
      <c r="C5" t="s">
        <v>200</v>
      </c>
      <c r="D5" t="s">
        <v>201</v>
      </c>
    </row>
    <row r="6" spans="1:4" x14ac:dyDescent="0.25">
      <c r="A6">
        <v>76777</v>
      </c>
      <c r="B6" s="8" t="s">
        <v>67</v>
      </c>
      <c r="C6" t="s">
        <v>32</v>
      </c>
      <c r="D6" t="s">
        <v>202</v>
      </c>
    </row>
    <row r="7" spans="1:4" x14ac:dyDescent="0.25">
      <c r="A7">
        <v>67766</v>
      </c>
      <c r="B7" s="8" t="s">
        <v>71</v>
      </c>
      <c r="C7" t="s">
        <v>203</v>
      </c>
      <c r="D7" t="s">
        <v>204</v>
      </c>
    </row>
    <row r="8" spans="1:4" x14ac:dyDescent="0.25">
      <c r="A8">
        <v>45644</v>
      </c>
      <c r="B8" s="8" t="s">
        <v>205</v>
      </c>
      <c r="C8" t="s">
        <v>206</v>
      </c>
      <c r="D8" t="s">
        <v>207</v>
      </c>
    </row>
    <row r="9" spans="1:4" x14ac:dyDescent="0.25">
      <c r="A9">
        <v>55655</v>
      </c>
      <c r="B9" s="8" t="s">
        <v>208</v>
      </c>
      <c r="C9" t="s">
        <v>209</v>
      </c>
      <c r="D9" t="s">
        <v>210</v>
      </c>
    </row>
    <row r="10" spans="1:4" x14ac:dyDescent="0.25">
      <c r="A10">
        <v>66655</v>
      </c>
      <c r="B10" s="8" t="s">
        <v>211</v>
      </c>
      <c r="C10" t="s">
        <v>212</v>
      </c>
      <c r="D10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CFDF-52BE-4D44-884D-DD2A86418462}">
  <dimension ref="A1:H45"/>
  <sheetViews>
    <sheetView topLeftCell="A28" workbookViewId="0">
      <selection activeCell="C15" sqref="C15"/>
    </sheetView>
  </sheetViews>
  <sheetFormatPr defaultRowHeight="15" x14ac:dyDescent="0.25"/>
  <cols>
    <col min="1" max="1" width="40.42578125" bestFit="1" customWidth="1"/>
    <col min="2" max="2" width="13.5703125" bestFit="1" customWidth="1"/>
    <col min="3" max="3" width="16" bestFit="1" customWidth="1"/>
    <col min="4" max="4" width="14.5703125" bestFit="1" customWidth="1"/>
    <col min="5" max="5" width="18.7109375" bestFit="1" customWidth="1"/>
    <col min="7" max="7" width="14.5703125" bestFit="1" customWidth="1"/>
    <col min="8" max="8" width="18.28515625" bestFit="1" customWidth="1"/>
    <col min="9" max="9" width="10" customWidth="1"/>
  </cols>
  <sheetData>
    <row r="1" spans="1:8" x14ac:dyDescent="0.25">
      <c r="A1" s="1" t="s">
        <v>214</v>
      </c>
    </row>
    <row r="2" spans="1:8" x14ac:dyDescent="0.25">
      <c r="B2" s="1" t="s">
        <v>215</v>
      </c>
    </row>
    <row r="4" spans="1:8" x14ac:dyDescent="0.25">
      <c r="A4" s="18" t="s">
        <v>216</v>
      </c>
      <c r="B4" s="18" t="s">
        <v>217</v>
      </c>
      <c r="D4" s="18" t="s">
        <v>216</v>
      </c>
      <c r="E4" s="18" t="s">
        <v>218</v>
      </c>
      <c r="G4" s="18" t="s">
        <v>216</v>
      </c>
      <c r="H4" s="18" t="s">
        <v>219</v>
      </c>
    </row>
    <row r="5" spans="1:8" x14ac:dyDescent="0.25">
      <c r="A5" t="s">
        <v>220</v>
      </c>
      <c r="B5" s="14">
        <v>1001</v>
      </c>
      <c r="D5" t="s">
        <v>220</v>
      </c>
      <c r="E5" s="14">
        <v>101</v>
      </c>
      <c r="G5" t="s">
        <v>220</v>
      </c>
      <c r="H5" s="14">
        <v>3434</v>
      </c>
    </row>
    <row r="6" spans="1:8" x14ac:dyDescent="0.25">
      <c r="A6" t="s">
        <v>221</v>
      </c>
      <c r="B6">
        <v>1002</v>
      </c>
      <c r="D6" t="s">
        <v>221</v>
      </c>
      <c r="E6">
        <v>102</v>
      </c>
      <c r="G6" t="s">
        <v>221</v>
      </c>
      <c r="H6">
        <v>3435</v>
      </c>
    </row>
    <row r="7" spans="1:8" x14ac:dyDescent="0.25">
      <c r="A7" t="s">
        <v>222</v>
      </c>
      <c r="B7">
        <v>1003</v>
      </c>
      <c r="D7" t="s">
        <v>222</v>
      </c>
      <c r="E7">
        <v>103</v>
      </c>
      <c r="G7" t="s">
        <v>222</v>
      </c>
      <c r="H7">
        <v>3436</v>
      </c>
    </row>
    <row r="8" spans="1:8" x14ac:dyDescent="0.25">
      <c r="A8" t="s">
        <v>223</v>
      </c>
      <c r="B8">
        <v>1004</v>
      </c>
      <c r="D8" t="s">
        <v>223</v>
      </c>
      <c r="E8">
        <v>104</v>
      </c>
      <c r="G8" t="s">
        <v>223</v>
      </c>
      <c r="H8">
        <v>3437</v>
      </c>
    </row>
    <row r="9" spans="1:8" x14ac:dyDescent="0.25">
      <c r="A9" t="s">
        <v>224</v>
      </c>
      <c r="B9">
        <v>1005</v>
      </c>
      <c r="D9" t="s">
        <v>224</v>
      </c>
      <c r="E9">
        <v>105</v>
      </c>
      <c r="G9" t="s">
        <v>224</v>
      </c>
      <c r="H9">
        <v>3438</v>
      </c>
    </row>
    <row r="10" spans="1:8" x14ac:dyDescent="0.25">
      <c r="A10" t="s">
        <v>225</v>
      </c>
      <c r="B10">
        <v>1006</v>
      </c>
      <c r="D10" t="s">
        <v>225</v>
      </c>
      <c r="E10">
        <v>106</v>
      </c>
      <c r="G10" t="s">
        <v>225</v>
      </c>
      <c r="H10">
        <v>3439</v>
      </c>
    </row>
    <row r="11" spans="1:8" x14ac:dyDescent="0.25">
      <c r="A11" t="s">
        <v>226</v>
      </c>
      <c r="B11">
        <v>1007</v>
      </c>
      <c r="D11" t="s">
        <v>226</v>
      </c>
      <c r="E11">
        <v>107</v>
      </c>
      <c r="G11" t="s">
        <v>226</v>
      </c>
      <c r="H11">
        <v>3440</v>
      </c>
    </row>
    <row r="12" spans="1:8" x14ac:dyDescent="0.25">
      <c r="A12" t="s">
        <v>227</v>
      </c>
      <c r="B12">
        <v>1008</v>
      </c>
      <c r="D12" t="s">
        <v>227</v>
      </c>
      <c r="E12">
        <v>108</v>
      </c>
      <c r="G12" t="s">
        <v>227</v>
      </c>
      <c r="H12">
        <v>3441</v>
      </c>
    </row>
    <row r="13" spans="1:8" x14ac:dyDescent="0.25">
      <c r="A13" t="s">
        <v>228</v>
      </c>
      <c r="B13">
        <v>1009</v>
      </c>
      <c r="D13" t="s">
        <v>228</v>
      </c>
      <c r="E13">
        <v>109</v>
      </c>
      <c r="G13" t="s">
        <v>228</v>
      </c>
      <c r="H13">
        <v>3442</v>
      </c>
    </row>
    <row r="14" spans="1:8" x14ac:dyDescent="0.25">
      <c r="A14" t="s">
        <v>229</v>
      </c>
      <c r="B14">
        <v>1010</v>
      </c>
      <c r="D14" t="s">
        <v>229</v>
      </c>
      <c r="E14">
        <v>110</v>
      </c>
      <c r="G14" t="s">
        <v>229</v>
      </c>
      <c r="H14">
        <v>3443</v>
      </c>
    </row>
    <row r="18" spans="1:8" x14ac:dyDescent="0.25">
      <c r="B18" s="1" t="s">
        <v>230</v>
      </c>
    </row>
    <row r="20" spans="1:8" x14ac:dyDescent="0.25">
      <c r="A20" s="18" t="s">
        <v>231</v>
      </c>
      <c r="B20" s="18" t="s">
        <v>232</v>
      </c>
      <c r="D20" s="18" t="s">
        <v>231</v>
      </c>
      <c r="E20" s="18" t="s">
        <v>233</v>
      </c>
      <c r="G20" s="18" t="s">
        <v>231</v>
      </c>
      <c r="H20" s="18" t="s">
        <v>234</v>
      </c>
    </row>
    <row r="21" spans="1:8" x14ac:dyDescent="0.25">
      <c r="A21" t="s">
        <v>235</v>
      </c>
      <c r="B21" s="14" t="s">
        <v>236</v>
      </c>
      <c r="D21" t="s">
        <v>235</v>
      </c>
      <c r="E21" s="14" t="s">
        <v>237</v>
      </c>
      <c r="G21" t="s">
        <v>235</v>
      </c>
      <c r="H21" s="14" t="s">
        <v>238</v>
      </c>
    </row>
    <row r="22" spans="1:8" x14ac:dyDescent="0.25">
      <c r="A22" t="s">
        <v>239</v>
      </c>
      <c r="B22" t="s">
        <v>15</v>
      </c>
      <c r="D22" t="s">
        <v>239</v>
      </c>
      <c r="E22" t="s">
        <v>240</v>
      </c>
      <c r="G22" t="s">
        <v>239</v>
      </c>
      <c r="H22" t="s">
        <v>238</v>
      </c>
    </row>
    <row r="23" spans="1:8" x14ac:dyDescent="0.25">
      <c r="A23" t="s">
        <v>241</v>
      </c>
      <c r="B23" t="s">
        <v>21</v>
      </c>
      <c r="D23" t="s">
        <v>241</v>
      </c>
      <c r="E23" t="s">
        <v>242</v>
      </c>
      <c r="G23" t="s">
        <v>241</v>
      </c>
      <c r="H23" t="s">
        <v>243</v>
      </c>
    </row>
    <row r="24" spans="1:8" x14ac:dyDescent="0.25">
      <c r="A24" t="s">
        <v>244</v>
      </c>
      <c r="B24" t="s">
        <v>173</v>
      </c>
      <c r="D24" t="s">
        <v>244</v>
      </c>
      <c r="E24" t="s">
        <v>245</v>
      </c>
      <c r="G24" t="s">
        <v>244</v>
      </c>
      <c r="H24" t="s">
        <v>246</v>
      </c>
    </row>
    <row r="25" spans="1:8" x14ac:dyDescent="0.25">
      <c r="A25" t="s">
        <v>247</v>
      </c>
      <c r="B25" t="s">
        <v>21</v>
      </c>
      <c r="D25" t="s">
        <v>247</v>
      </c>
      <c r="E25" t="s">
        <v>242</v>
      </c>
      <c r="G25" t="s">
        <v>247</v>
      </c>
      <c r="H25" t="s">
        <v>248</v>
      </c>
    </row>
    <row r="26" spans="1:8" x14ac:dyDescent="0.25">
      <c r="A26" t="s">
        <v>249</v>
      </c>
      <c r="B26" t="s">
        <v>236</v>
      </c>
      <c r="D26" t="s">
        <v>249</v>
      </c>
      <c r="E26" t="s">
        <v>250</v>
      </c>
      <c r="G26" t="s">
        <v>249</v>
      </c>
      <c r="H26" t="s">
        <v>251</v>
      </c>
    </row>
    <row r="27" spans="1:8" x14ac:dyDescent="0.25">
      <c r="A27" t="s">
        <v>252</v>
      </c>
      <c r="B27" t="s">
        <v>236</v>
      </c>
      <c r="D27" t="s">
        <v>252</v>
      </c>
      <c r="E27" t="s">
        <v>250</v>
      </c>
      <c r="G27" t="s">
        <v>252</v>
      </c>
      <c r="H27" t="s">
        <v>253</v>
      </c>
    </row>
    <row r="28" spans="1:8" x14ac:dyDescent="0.25">
      <c r="A28" t="s">
        <v>254</v>
      </c>
      <c r="B28" t="s">
        <v>173</v>
      </c>
      <c r="D28" t="s">
        <v>254</v>
      </c>
      <c r="E28" t="s">
        <v>255</v>
      </c>
      <c r="G28" t="s">
        <v>254</v>
      </c>
      <c r="H28" t="s">
        <v>256</v>
      </c>
    </row>
    <row r="29" spans="1:8" x14ac:dyDescent="0.25">
      <c r="A29" t="s">
        <v>257</v>
      </c>
      <c r="B29" t="s">
        <v>258</v>
      </c>
      <c r="D29" t="s">
        <v>257</v>
      </c>
      <c r="E29" t="s">
        <v>259</v>
      </c>
      <c r="G29" t="s">
        <v>257</v>
      </c>
      <c r="H29" t="s">
        <v>260</v>
      </c>
    </row>
    <row r="30" spans="1:8" x14ac:dyDescent="0.25">
      <c r="A30" t="s">
        <v>261</v>
      </c>
      <c r="B30" t="s">
        <v>262</v>
      </c>
      <c r="D30" t="s">
        <v>261</v>
      </c>
      <c r="E30" t="s">
        <v>263</v>
      </c>
      <c r="G30" t="s">
        <v>261</v>
      </c>
      <c r="H30" t="s">
        <v>260</v>
      </c>
    </row>
    <row r="31" spans="1:8" x14ac:dyDescent="0.25">
      <c r="A31" t="s">
        <v>264</v>
      </c>
      <c r="B31" t="s">
        <v>265</v>
      </c>
      <c r="D31" t="s">
        <v>264</v>
      </c>
      <c r="E31" t="s">
        <v>101</v>
      </c>
      <c r="G31" t="s">
        <v>264</v>
      </c>
      <c r="H31" t="s">
        <v>260</v>
      </c>
    </row>
    <row r="32" spans="1:8" x14ac:dyDescent="0.25">
      <c r="A32" t="s">
        <v>266</v>
      </c>
      <c r="B32" t="s">
        <v>177</v>
      </c>
      <c r="D32" t="s">
        <v>266</v>
      </c>
      <c r="E32" t="s">
        <v>267</v>
      </c>
      <c r="G32" t="s">
        <v>266</v>
      </c>
      <c r="H32" t="s">
        <v>260</v>
      </c>
    </row>
    <row r="35" spans="1:8" x14ac:dyDescent="0.25">
      <c r="A35" t="s">
        <v>268</v>
      </c>
    </row>
    <row r="36" spans="1:8" x14ac:dyDescent="0.25">
      <c r="A36" s="18" t="s">
        <v>197</v>
      </c>
      <c r="B36" s="18" t="s">
        <v>196</v>
      </c>
      <c r="C36" s="18" t="s">
        <v>195</v>
      </c>
    </row>
    <row r="37" spans="1:8" x14ac:dyDescent="0.25">
      <c r="A37" t="s">
        <v>25</v>
      </c>
      <c r="B37" t="s">
        <v>14</v>
      </c>
      <c r="C37" s="14" t="s">
        <v>269</v>
      </c>
    </row>
    <row r="38" spans="1:8" x14ac:dyDescent="0.25">
      <c r="A38" t="s">
        <v>20</v>
      </c>
      <c r="B38" t="s">
        <v>35</v>
      </c>
      <c r="C38" t="s">
        <v>270</v>
      </c>
    </row>
    <row r="39" spans="1:8" x14ac:dyDescent="0.25">
      <c r="A39" t="s">
        <v>61</v>
      </c>
      <c r="B39" t="s">
        <v>199</v>
      </c>
      <c r="C39" t="s">
        <v>271</v>
      </c>
      <c r="E39" s="46" t="s">
        <v>272</v>
      </c>
      <c r="F39" s="46"/>
      <c r="G39" s="46"/>
      <c r="H39" s="46"/>
    </row>
    <row r="40" spans="1:8" x14ac:dyDescent="0.25">
      <c r="A40" t="s">
        <v>200</v>
      </c>
      <c r="B40" t="s">
        <v>201</v>
      </c>
      <c r="C40" t="s">
        <v>273</v>
      </c>
      <c r="E40" s="46" t="s">
        <v>274</v>
      </c>
      <c r="F40" s="46"/>
      <c r="G40" s="46"/>
      <c r="H40" s="46"/>
    </row>
    <row r="41" spans="1:8" x14ac:dyDescent="0.25">
      <c r="A41" t="s">
        <v>32</v>
      </c>
      <c r="B41" t="s">
        <v>202</v>
      </c>
      <c r="C41" t="s">
        <v>275</v>
      </c>
    </row>
    <row r="42" spans="1:8" x14ac:dyDescent="0.25">
      <c r="A42" t="s">
        <v>203</v>
      </c>
      <c r="B42" t="s">
        <v>204</v>
      </c>
      <c r="C42" t="s">
        <v>276</v>
      </c>
    </row>
    <row r="43" spans="1:8" x14ac:dyDescent="0.25">
      <c r="A43" t="s">
        <v>206</v>
      </c>
      <c r="B43" t="s">
        <v>207</v>
      </c>
      <c r="C43" t="s">
        <v>277</v>
      </c>
    </row>
    <row r="44" spans="1:8" x14ac:dyDescent="0.25">
      <c r="A44" t="s">
        <v>209</v>
      </c>
      <c r="B44" t="s">
        <v>210</v>
      </c>
      <c r="C44" t="s">
        <v>278</v>
      </c>
    </row>
    <row r="45" spans="1:8" x14ac:dyDescent="0.25">
      <c r="A45" t="s">
        <v>212</v>
      </c>
      <c r="B45" t="s">
        <v>213</v>
      </c>
      <c r="C45" t="s">
        <v>279</v>
      </c>
    </row>
  </sheetData>
  <mergeCells count="2">
    <mergeCell ref="E39:H39"/>
    <mergeCell ref="E40:H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1BAE-C3EC-450D-AE7C-62C63BAA9B71}">
  <dimension ref="A1:J13"/>
  <sheetViews>
    <sheetView workbookViewId="0">
      <selection activeCell="G18" sqref="G18"/>
    </sheetView>
  </sheetViews>
  <sheetFormatPr defaultRowHeight="15" x14ac:dyDescent="0.25"/>
  <cols>
    <col min="1" max="1" width="13.85546875" bestFit="1" customWidth="1"/>
    <col min="2" max="2" width="12" bestFit="1" customWidth="1"/>
    <col min="3" max="3" width="12.85546875" bestFit="1" customWidth="1"/>
    <col min="4" max="4" width="11" bestFit="1" customWidth="1"/>
    <col min="7" max="7" width="13.85546875" bestFit="1" customWidth="1"/>
    <col min="8" max="8" width="12" bestFit="1" customWidth="1"/>
    <col min="9" max="9" width="12.85546875" bestFit="1" customWidth="1"/>
    <col min="10" max="10" width="11" bestFit="1" customWidth="1"/>
  </cols>
  <sheetData>
    <row r="1" spans="1:10" x14ac:dyDescent="0.25">
      <c r="A1" s="18" t="s">
        <v>132</v>
      </c>
      <c r="B1" s="18" t="s">
        <v>280</v>
      </c>
      <c r="C1" s="18" t="s">
        <v>281</v>
      </c>
      <c r="D1" s="18" t="s">
        <v>282</v>
      </c>
    </row>
    <row r="2" spans="1:10" x14ac:dyDescent="0.25">
      <c r="A2" t="s">
        <v>283</v>
      </c>
      <c r="B2" t="s">
        <v>284</v>
      </c>
      <c r="C2" t="s">
        <v>285</v>
      </c>
      <c r="D2">
        <v>9876543210</v>
      </c>
    </row>
    <row r="3" spans="1:10" x14ac:dyDescent="0.25">
      <c r="A3" t="s">
        <v>283</v>
      </c>
      <c r="B3" t="s">
        <v>286</v>
      </c>
      <c r="C3" t="s">
        <v>287</v>
      </c>
      <c r="D3">
        <v>9876543211</v>
      </c>
      <c r="G3" s="18" t="s">
        <v>132</v>
      </c>
      <c r="H3" s="18" t="s">
        <v>280</v>
      </c>
      <c r="I3" s="18" t="s">
        <v>281</v>
      </c>
      <c r="J3" s="18" t="s">
        <v>282</v>
      </c>
    </row>
    <row r="4" spans="1:10" x14ac:dyDescent="0.25">
      <c r="A4" t="s">
        <v>283</v>
      </c>
      <c r="B4" t="s">
        <v>288</v>
      </c>
      <c r="C4" t="s">
        <v>289</v>
      </c>
      <c r="D4">
        <v>9876543212</v>
      </c>
      <c r="G4" t="s">
        <v>283</v>
      </c>
      <c r="H4" t="s">
        <v>284</v>
      </c>
      <c r="I4" t="s">
        <v>285</v>
      </c>
      <c r="J4">
        <v>9876543210</v>
      </c>
    </row>
    <row r="5" spans="1:10" x14ac:dyDescent="0.25">
      <c r="A5" t="s">
        <v>283</v>
      </c>
      <c r="B5" t="s">
        <v>290</v>
      </c>
      <c r="C5" t="s">
        <v>291</v>
      </c>
      <c r="D5">
        <v>9876543213</v>
      </c>
      <c r="G5" t="s">
        <v>283</v>
      </c>
      <c r="H5" t="s">
        <v>286</v>
      </c>
      <c r="I5" t="s">
        <v>287</v>
      </c>
      <c r="J5">
        <v>9876543211</v>
      </c>
    </row>
    <row r="6" spans="1:10" x14ac:dyDescent="0.25">
      <c r="A6" t="s">
        <v>283</v>
      </c>
      <c r="B6" t="s">
        <v>292</v>
      </c>
      <c r="C6" t="s">
        <v>20</v>
      </c>
      <c r="D6">
        <v>9876543214</v>
      </c>
      <c r="G6" t="s">
        <v>283</v>
      </c>
      <c r="H6" t="s">
        <v>288</v>
      </c>
      <c r="I6" t="s">
        <v>289</v>
      </c>
      <c r="J6">
        <v>9876543212</v>
      </c>
    </row>
    <row r="7" spans="1:10" x14ac:dyDescent="0.25">
      <c r="A7" t="s">
        <v>293</v>
      </c>
      <c r="B7" t="s">
        <v>284</v>
      </c>
      <c r="C7" t="s">
        <v>289</v>
      </c>
      <c r="D7">
        <v>9876543215</v>
      </c>
      <c r="G7" t="s">
        <v>283</v>
      </c>
      <c r="H7" t="s">
        <v>290</v>
      </c>
      <c r="I7" t="s">
        <v>291</v>
      </c>
      <c r="J7">
        <v>9876543213</v>
      </c>
    </row>
    <row r="8" spans="1:10" x14ac:dyDescent="0.25">
      <c r="A8" t="s">
        <v>283</v>
      </c>
      <c r="B8" t="s">
        <v>284</v>
      </c>
      <c r="C8" t="s">
        <v>285</v>
      </c>
      <c r="D8">
        <v>9876543210</v>
      </c>
      <c r="G8" t="s">
        <v>283</v>
      </c>
      <c r="H8" t="s">
        <v>292</v>
      </c>
      <c r="I8" t="s">
        <v>20</v>
      </c>
      <c r="J8">
        <v>9876543214</v>
      </c>
    </row>
    <row r="9" spans="1:10" x14ac:dyDescent="0.25">
      <c r="A9" t="s">
        <v>283</v>
      </c>
      <c r="B9" t="s">
        <v>286</v>
      </c>
      <c r="C9" t="s">
        <v>287</v>
      </c>
      <c r="D9">
        <v>9876543211</v>
      </c>
      <c r="G9" t="s">
        <v>293</v>
      </c>
      <c r="H9" t="s">
        <v>284</v>
      </c>
      <c r="I9" t="s">
        <v>289</v>
      </c>
      <c r="J9">
        <v>9876543215</v>
      </c>
    </row>
    <row r="10" spans="1:10" x14ac:dyDescent="0.25">
      <c r="A10" t="s">
        <v>283</v>
      </c>
      <c r="B10" t="s">
        <v>294</v>
      </c>
      <c r="C10" t="s">
        <v>289</v>
      </c>
      <c r="D10">
        <v>9876543212</v>
      </c>
      <c r="G10" t="s">
        <v>283</v>
      </c>
      <c r="H10" t="s">
        <v>294</v>
      </c>
      <c r="I10" t="s">
        <v>289</v>
      </c>
      <c r="J10">
        <v>9876543212</v>
      </c>
    </row>
    <row r="11" spans="1:10" x14ac:dyDescent="0.25">
      <c r="A11" t="s">
        <v>295</v>
      </c>
      <c r="B11" t="s">
        <v>296</v>
      </c>
      <c r="C11" t="s">
        <v>291</v>
      </c>
      <c r="D11">
        <v>9876543213</v>
      </c>
      <c r="G11" t="s">
        <v>295</v>
      </c>
      <c r="H11" t="s">
        <v>296</v>
      </c>
      <c r="I11" t="s">
        <v>291</v>
      </c>
      <c r="J11">
        <v>9876543213</v>
      </c>
    </row>
    <row r="12" spans="1:10" x14ac:dyDescent="0.25">
      <c r="A12" t="s">
        <v>283</v>
      </c>
      <c r="B12" t="s">
        <v>292</v>
      </c>
      <c r="C12" t="s">
        <v>297</v>
      </c>
      <c r="D12">
        <v>9876543214</v>
      </c>
      <c r="G12" t="s">
        <v>283</v>
      </c>
      <c r="H12" t="s">
        <v>292</v>
      </c>
      <c r="I12" t="s">
        <v>297</v>
      </c>
      <c r="J12">
        <v>9876543214</v>
      </c>
    </row>
    <row r="13" spans="1:10" x14ac:dyDescent="0.25">
      <c r="A13" t="s">
        <v>283</v>
      </c>
      <c r="B13" t="s">
        <v>284</v>
      </c>
      <c r="C13" t="s">
        <v>35</v>
      </c>
      <c r="D13">
        <v>9876543215</v>
      </c>
      <c r="G13" t="s">
        <v>283</v>
      </c>
      <c r="H13" t="s">
        <v>284</v>
      </c>
      <c r="I13" t="s">
        <v>35</v>
      </c>
      <c r="J13">
        <v>9876543215</v>
      </c>
    </row>
  </sheetData>
  <conditionalFormatting sqref="A2:D13">
    <cfRule type="uniqueValues" dxfId="1" priority="1"/>
  </conditionalFormatting>
  <conditionalFormatting sqref="B7">
    <cfRule type="duplicateValues" dxfId="0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79DA-8817-4279-808A-1C5DEF3A8F48}">
  <dimension ref="A1:D8"/>
  <sheetViews>
    <sheetView workbookViewId="0">
      <selection activeCell="J15" sqref="J15"/>
    </sheetView>
  </sheetViews>
  <sheetFormatPr defaultRowHeight="15" x14ac:dyDescent="0.25"/>
  <cols>
    <col min="1" max="1" width="13.85546875" bestFit="1" customWidth="1"/>
  </cols>
  <sheetData>
    <row r="1" spans="1:4" x14ac:dyDescent="0.25">
      <c r="A1" s="22" t="s">
        <v>298</v>
      </c>
    </row>
    <row r="3" spans="1:4" x14ac:dyDescent="0.25">
      <c r="B3" s="18" t="s">
        <v>149</v>
      </c>
      <c r="C3" s="18" t="s">
        <v>280</v>
      </c>
      <c r="D3" s="18" t="s">
        <v>299</v>
      </c>
    </row>
    <row r="4" spans="1:4" x14ac:dyDescent="0.25">
      <c r="B4">
        <v>2233</v>
      </c>
      <c r="C4" t="s">
        <v>300</v>
      </c>
      <c r="D4">
        <v>-2.27</v>
      </c>
    </row>
    <row r="5" spans="1:4" x14ac:dyDescent="0.25">
      <c r="B5">
        <v>2234</v>
      </c>
      <c r="C5" t="s">
        <v>284</v>
      </c>
      <c r="D5">
        <v>4.7</v>
      </c>
    </row>
    <row r="6" spans="1:4" x14ac:dyDescent="0.25">
      <c r="B6">
        <v>2235</v>
      </c>
      <c r="C6" t="s">
        <v>301</v>
      </c>
      <c r="D6">
        <v>4.5</v>
      </c>
    </row>
    <row r="7" spans="1:4" x14ac:dyDescent="0.25">
      <c r="B7">
        <v>2236</v>
      </c>
      <c r="C7" t="s">
        <v>302</v>
      </c>
      <c r="D7">
        <v>3.8</v>
      </c>
    </row>
    <row r="8" spans="1:4" x14ac:dyDescent="0.25">
      <c r="B8">
        <v>2237</v>
      </c>
      <c r="C8" t="s">
        <v>303</v>
      </c>
      <c r="D8">
        <v>-2.2200000000000002</v>
      </c>
    </row>
  </sheetData>
  <dataValidations count="3">
    <dataValidation errorStyle="warning" allowBlank="1" showInputMessage="1" showErrorMessage="1" errorTitle="value should be positive" error="value should be positive" promptTitle="Enter the rating here" prompt="you will enter the rating value from the user" sqref="D4:D7" xr:uid="{C2AA42A6-3159-4F6F-A6CA-88E3A9B628F1}"/>
    <dataValidation allowBlank="1" showInputMessage="1" showErrorMessage="1" promptTitle="Enter positive number" prompt="Enter positive number" sqref="D8:D9" xr:uid="{C235A73D-6249-444E-AE16-F955FFA35FA2}"/>
    <dataValidation type="whole" errorStyle="warning" operator="equal" allowBlank="1" showInputMessage="1" showErrorMessage="1" errorTitle="Number" error="Number here" promptTitle="Number here" prompt="enter number here" sqref="B4:B9" xr:uid="{9F7B3F7B-1206-4DB3-AEC8-995E9E04A88C}">
      <formula1>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4B72-8CE1-4850-B1E3-63CA52D8DE5F}">
  <dimension ref="A1:H101"/>
  <sheetViews>
    <sheetView workbookViewId="0">
      <selection activeCell="M20" sqref="M20"/>
    </sheetView>
  </sheetViews>
  <sheetFormatPr defaultRowHeight="15" x14ac:dyDescent="0.25"/>
  <cols>
    <col min="1" max="1" width="6.28515625" bestFit="1" customWidth="1"/>
    <col min="2" max="3" width="10.5703125" bestFit="1" customWidth="1"/>
    <col min="4" max="4" width="7.5703125" bestFit="1" customWidth="1"/>
    <col min="5" max="5" width="12.85546875" bestFit="1" customWidth="1"/>
    <col min="6" max="6" width="4.42578125" bestFit="1" customWidth="1"/>
    <col min="7" max="7" width="10.42578125" bestFit="1" customWidth="1"/>
    <col min="8" max="8" width="5" bestFit="1" customWidth="1"/>
  </cols>
  <sheetData>
    <row r="1" spans="1:8" x14ac:dyDescent="0.25">
      <c r="A1" t="s">
        <v>304</v>
      </c>
      <c r="B1" t="s">
        <v>197</v>
      </c>
      <c r="C1" t="s">
        <v>196</v>
      </c>
      <c r="D1" t="s">
        <v>11</v>
      </c>
      <c r="E1" t="s">
        <v>137</v>
      </c>
      <c r="F1" t="s">
        <v>305</v>
      </c>
      <c r="G1" t="s">
        <v>125</v>
      </c>
      <c r="H1" t="s">
        <v>306</v>
      </c>
    </row>
    <row r="2" spans="1:8" x14ac:dyDescent="0.25">
      <c r="A2">
        <v>1</v>
      </c>
      <c r="B2" t="s">
        <v>285</v>
      </c>
      <c r="C2" t="s">
        <v>307</v>
      </c>
      <c r="D2" t="s">
        <v>308</v>
      </c>
      <c r="E2" t="s">
        <v>145</v>
      </c>
      <c r="F2" t="s">
        <v>309</v>
      </c>
      <c r="G2" t="s">
        <v>310</v>
      </c>
      <c r="H2" s="23" t="s">
        <v>311</v>
      </c>
    </row>
    <row r="3" spans="1:8" x14ac:dyDescent="0.25">
      <c r="A3">
        <v>2</v>
      </c>
      <c r="B3" t="s">
        <v>287</v>
      </c>
      <c r="C3" t="s">
        <v>312</v>
      </c>
      <c r="D3" t="s">
        <v>308</v>
      </c>
      <c r="E3" t="s">
        <v>313</v>
      </c>
      <c r="F3" t="s">
        <v>314</v>
      </c>
      <c r="G3" t="s">
        <v>315</v>
      </c>
      <c r="H3" s="23" t="s">
        <v>316</v>
      </c>
    </row>
    <row r="4" spans="1:8" x14ac:dyDescent="0.25">
      <c r="A4">
        <v>3</v>
      </c>
      <c r="B4" t="s">
        <v>289</v>
      </c>
      <c r="C4" t="s">
        <v>317</v>
      </c>
      <c r="D4" t="s">
        <v>318</v>
      </c>
      <c r="E4" t="s">
        <v>319</v>
      </c>
      <c r="F4" t="s">
        <v>320</v>
      </c>
      <c r="G4" t="s">
        <v>321</v>
      </c>
      <c r="H4" s="23" t="s">
        <v>322</v>
      </c>
    </row>
    <row r="5" spans="1:8" x14ac:dyDescent="0.25">
      <c r="A5">
        <v>4</v>
      </c>
      <c r="B5" t="s">
        <v>291</v>
      </c>
      <c r="C5" t="s">
        <v>323</v>
      </c>
      <c r="D5" t="s">
        <v>308</v>
      </c>
      <c r="E5" t="s">
        <v>145</v>
      </c>
      <c r="F5" t="s">
        <v>314</v>
      </c>
      <c r="G5" t="s">
        <v>310</v>
      </c>
      <c r="H5" s="23" t="s">
        <v>324</v>
      </c>
    </row>
    <row r="6" spans="1:8" x14ac:dyDescent="0.25">
      <c r="A6">
        <v>5</v>
      </c>
      <c r="B6" t="s">
        <v>297</v>
      </c>
      <c r="C6" t="s">
        <v>325</v>
      </c>
      <c r="D6" t="s">
        <v>308</v>
      </c>
      <c r="E6" t="s">
        <v>145</v>
      </c>
      <c r="F6" t="s">
        <v>326</v>
      </c>
      <c r="G6" t="s">
        <v>315</v>
      </c>
      <c r="H6" s="23" t="s">
        <v>327</v>
      </c>
    </row>
    <row r="7" spans="1:8" x14ac:dyDescent="0.25">
      <c r="A7">
        <v>6</v>
      </c>
      <c r="B7" t="s">
        <v>328</v>
      </c>
      <c r="C7" t="s">
        <v>329</v>
      </c>
      <c r="D7" t="s">
        <v>318</v>
      </c>
      <c r="E7" t="s">
        <v>145</v>
      </c>
      <c r="F7" t="s">
        <v>330</v>
      </c>
      <c r="G7" t="s">
        <v>321</v>
      </c>
      <c r="H7" s="23" t="s">
        <v>331</v>
      </c>
    </row>
    <row r="8" spans="1:8" x14ac:dyDescent="0.25">
      <c r="A8">
        <v>7</v>
      </c>
      <c r="B8" t="s">
        <v>332</v>
      </c>
      <c r="C8" t="s">
        <v>333</v>
      </c>
      <c r="D8" t="s">
        <v>308</v>
      </c>
      <c r="E8" t="s">
        <v>313</v>
      </c>
      <c r="F8" t="s">
        <v>334</v>
      </c>
      <c r="G8" t="s">
        <v>310</v>
      </c>
      <c r="H8" s="23" t="s">
        <v>335</v>
      </c>
    </row>
    <row r="9" spans="1:8" x14ac:dyDescent="0.25">
      <c r="A9">
        <v>8</v>
      </c>
      <c r="B9" t="s">
        <v>336</v>
      </c>
      <c r="C9" t="s">
        <v>337</v>
      </c>
      <c r="D9" t="s">
        <v>308</v>
      </c>
      <c r="E9" t="s">
        <v>145</v>
      </c>
      <c r="F9" t="s">
        <v>338</v>
      </c>
      <c r="G9" t="s">
        <v>315</v>
      </c>
      <c r="H9" s="23" t="s">
        <v>339</v>
      </c>
    </row>
    <row r="10" spans="1:8" x14ac:dyDescent="0.25">
      <c r="A10">
        <v>9</v>
      </c>
      <c r="B10" t="s">
        <v>340</v>
      </c>
      <c r="C10" t="s">
        <v>341</v>
      </c>
      <c r="D10" t="s">
        <v>308</v>
      </c>
      <c r="E10" t="s">
        <v>145</v>
      </c>
      <c r="F10" t="s">
        <v>342</v>
      </c>
      <c r="G10" t="s">
        <v>321</v>
      </c>
      <c r="H10" s="23" t="s">
        <v>343</v>
      </c>
    </row>
    <row r="11" spans="1:8" x14ac:dyDescent="0.25">
      <c r="A11">
        <v>10</v>
      </c>
      <c r="B11" t="s">
        <v>344</v>
      </c>
      <c r="C11" t="s">
        <v>345</v>
      </c>
      <c r="D11" t="s">
        <v>308</v>
      </c>
      <c r="E11" t="s">
        <v>313</v>
      </c>
      <c r="F11" t="s">
        <v>346</v>
      </c>
      <c r="G11" t="s">
        <v>315</v>
      </c>
      <c r="H11" s="23" t="s">
        <v>347</v>
      </c>
    </row>
    <row r="12" spans="1:8" x14ac:dyDescent="0.25">
      <c r="A12">
        <v>11</v>
      </c>
      <c r="B12" t="s">
        <v>348</v>
      </c>
      <c r="C12" t="s">
        <v>349</v>
      </c>
      <c r="D12" t="s">
        <v>308</v>
      </c>
      <c r="E12" t="s">
        <v>313</v>
      </c>
      <c r="F12" t="s">
        <v>350</v>
      </c>
      <c r="G12" t="s">
        <v>321</v>
      </c>
      <c r="H12" s="23" t="s">
        <v>351</v>
      </c>
    </row>
    <row r="13" spans="1:8" x14ac:dyDescent="0.25">
      <c r="A13">
        <v>12</v>
      </c>
      <c r="B13" t="s">
        <v>352</v>
      </c>
      <c r="C13" t="s">
        <v>353</v>
      </c>
      <c r="D13" t="s">
        <v>318</v>
      </c>
      <c r="E13" t="s">
        <v>319</v>
      </c>
      <c r="F13" t="s">
        <v>354</v>
      </c>
      <c r="G13" t="s">
        <v>310</v>
      </c>
      <c r="H13" s="23" t="s">
        <v>355</v>
      </c>
    </row>
    <row r="14" spans="1:8" x14ac:dyDescent="0.25">
      <c r="A14">
        <v>13</v>
      </c>
      <c r="B14" t="s">
        <v>356</v>
      </c>
      <c r="C14" t="s">
        <v>357</v>
      </c>
      <c r="D14" t="s">
        <v>308</v>
      </c>
      <c r="E14" t="s">
        <v>313</v>
      </c>
      <c r="F14" t="s">
        <v>309</v>
      </c>
      <c r="G14" t="s">
        <v>315</v>
      </c>
      <c r="H14" s="23" t="s">
        <v>358</v>
      </c>
    </row>
    <row r="15" spans="1:8" x14ac:dyDescent="0.25">
      <c r="A15">
        <v>14</v>
      </c>
      <c r="B15" t="s">
        <v>359</v>
      </c>
      <c r="C15" t="s">
        <v>360</v>
      </c>
      <c r="D15" t="s">
        <v>318</v>
      </c>
      <c r="E15" t="s">
        <v>313</v>
      </c>
      <c r="F15" t="s">
        <v>361</v>
      </c>
      <c r="G15" t="s">
        <v>321</v>
      </c>
      <c r="H15" s="23" t="s">
        <v>322</v>
      </c>
    </row>
    <row r="16" spans="1:8" x14ac:dyDescent="0.25">
      <c r="A16">
        <v>15</v>
      </c>
      <c r="B16" t="s">
        <v>362</v>
      </c>
      <c r="C16" t="s">
        <v>363</v>
      </c>
      <c r="D16" t="s">
        <v>308</v>
      </c>
      <c r="E16" t="s">
        <v>313</v>
      </c>
      <c r="F16" t="s">
        <v>364</v>
      </c>
      <c r="G16" t="s">
        <v>315</v>
      </c>
      <c r="H16" s="23" t="s">
        <v>365</v>
      </c>
    </row>
    <row r="17" spans="1:8" x14ac:dyDescent="0.25">
      <c r="A17">
        <v>16</v>
      </c>
      <c r="B17" t="s">
        <v>366</v>
      </c>
      <c r="C17" t="s">
        <v>367</v>
      </c>
      <c r="D17" t="s">
        <v>308</v>
      </c>
      <c r="E17" t="s">
        <v>319</v>
      </c>
      <c r="F17" t="s">
        <v>330</v>
      </c>
      <c r="G17" t="s">
        <v>321</v>
      </c>
      <c r="H17" s="23" t="s">
        <v>368</v>
      </c>
    </row>
    <row r="18" spans="1:8" x14ac:dyDescent="0.25">
      <c r="A18">
        <v>17</v>
      </c>
      <c r="B18" t="s">
        <v>369</v>
      </c>
      <c r="C18" t="s">
        <v>370</v>
      </c>
      <c r="D18" t="s">
        <v>308</v>
      </c>
      <c r="E18" t="s">
        <v>319</v>
      </c>
      <c r="F18" t="s">
        <v>350</v>
      </c>
      <c r="G18" t="s">
        <v>310</v>
      </c>
      <c r="H18" s="23" t="s">
        <v>371</v>
      </c>
    </row>
    <row r="19" spans="1:8" x14ac:dyDescent="0.25">
      <c r="A19">
        <v>18</v>
      </c>
      <c r="B19" t="s">
        <v>372</v>
      </c>
      <c r="C19" t="s">
        <v>373</v>
      </c>
      <c r="D19" t="s">
        <v>308</v>
      </c>
      <c r="E19" t="s">
        <v>313</v>
      </c>
      <c r="F19" t="s">
        <v>346</v>
      </c>
      <c r="G19" t="s">
        <v>315</v>
      </c>
      <c r="H19" s="23" t="s">
        <v>374</v>
      </c>
    </row>
    <row r="20" spans="1:8" x14ac:dyDescent="0.25">
      <c r="A20">
        <v>19</v>
      </c>
      <c r="B20" t="s">
        <v>375</v>
      </c>
      <c r="C20" t="s">
        <v>376</v>
      </c>
      <c r="D20" t="s">
        <v>308</v>
      </c>
      <c r="E20" t="s">
        <v>319</v>
      </c>
      <c r="F20" t="s">
        <v>361</v>
      </c>
      <c r="G20" t="s">
        <v>321</v>
      </c>
      <c r="H20" s="23" t="s">
        <v>377</v>
      </c>
    </row>
    <row r="21" spans="1:8" x14ac:dyDescent="0.25">
      <c r="A21">
        <v>20</v>
      </c>
      <c r="B21" t="s">
        <v>378</v>
      </c>
      <c r="C21" t="s">
        <v>379</v>
      </c>
      <c r="D21" t="s">
        <v>308</v>
      </c>
      <c r="E21" t="s">
        <v>319</v>
      </c>
      <c r="F21" t="s">
        <v>380</v>
      </c>
      <c r="G21" t="s">
        <v>321</v>
      </c>
      <c r="H21" s="23" t="s">
        <v>381</v>
      </c>
    </row>
    <row r="22" spans="1:8" x14ac:dyDescent="0.25">
      <c r="A22">
        <v>21</v>
      </c>
      <c r="B22" t="s">
        <v>382</v>
      </c>
      <c r="C22" t="s">
        <v>383</v>
      </c>
      <c r="D22" t="s">
        <v>308</v>
      </c>
      <c r="E22" t="s">
        <v>145</v>
      </c>
      <c r="F22" t="s">
        <v>384</v>
      </c>
      <c r="G22" t="s">
        <v>310</v>
      </c>
      <c r="H22" s="23" t="s">
        <v>385</v>
      </c>
    </row>
    <row r="23" spans="1:8" x14ac:dyDescent="0.25">
      <c r="A23">
        <v>22</v>
      </c>
      <c r="B23" t="s">
        <v>386</v>
      </c>
      <c r="C23" t="s">
        <v>387</v>
      </c>
      <c r="D23" t="s">
        <v>308</v>
      </c>
      <c r="E23" t="s">
        <v>145</v>
      </c>
      <c r="F23" t="s">
        <v>388</v>
      </c>
      <c r="G23" t="s">
        <v>315</v>
      </c>
      <c r="H23" s="23" t="s">
        <v>389</v>
      </c>
    </row>
    <row r="24" spans="1:8" x14ac:dyDescent="0.25">
      <c r="A24">
        <v>23</v>
      </c>
      <c r="B24" t="s">
        <v>390</v>
      </c>
      <c r="C24" t="s">
        <v>391</v>
      </c>
      <c r="D24" t="s">
        <v>308</v>
      </c>
      <c r="E24" t="s">
        <v>313</v>
      </c>
      <c r="F24" t="s">
        <v>380</v>
      </c>
      <c r="G24" t="s">
        <v>321</v>
      </c>
      <c r="H24" s="23" t="s">
        <v>392</v>
      </c>
    </row>
    <row r="25" spans="1:8" x14ac:dyDescent="0.25">
      <c r="A25">
        <v>24</v>
      </c>
      <c r="B25" t="s">
        <v>393</v>
      </c>
      <c r="C25" t="s">
        <v>394</v>
      </c>
      <c r="D25" t="s">
        <v>308</v>
      </c>
      <c r="E25" t="s">
        <v>319</v>
      </c>
      <c r="F25" t="s">
        <v>395</v>
      </c>
      <c r="G25" t="s">
        <v>321</v>
      </c>
      <c r="H25" s="23" t="s">
        <v>392</v>
      </c>
    </row>
    <row r="26" spans="1:8" x14ac:dyDescent="0.25">
      <c r="A26">
        <v>25</v>
      </c>
      <c r="B26" t="s">
        <v>396</v>
      </c>
      <c r="C26" t="s">
        <v>397</v>
      </c>
      <c r="D26" t="s">
        <v>318</v>
      </c>
      <c r="E26" t="s">
        <v>319</v>
      </c>
      <c r="F26" t="s">
        <v>398</v>
      </c>
      <c r="G26" t="s">
        <v>310</v>
      </c>
      <c r="H26" s="23" t="s">
        <v>399</v>
      </c>
    </row>
    <row r="27" spans="1:8" x14ac:dyDescent="0.25">
      <c r="A27">
        <v>26</v>
      </c>
      <c r="B27" t="s">
        <v>400</v>
      </c>
      <c r="C27" t="s">
        <v>401</v>
      </c>
      <c r="D27" t="s">
        <v>308</v>
      </c>
      <c r="E27" t="s">
        <v>313</v>
      </c>
      <c r="F27" t="s">
        <v>346</v>
      </c>
      <c r="G27" t="s">
        <v>315</v>
      </c>
      <c r="H27" s="23" t="s">
        <v>402</v>
      </c>
    </row>
    <row r="28" spans="1:8" x14ac:dyDescent="0.25">
      <c r="A28">
        <v>27</v>
      </c>
      <c r="B28" t="s">
        <v>403</v>
      </c>
      <c r="C28" t="s">
        <v>404</v>
      </c>
      <c r="D28" t="s">
        <v>308</v>
      </c>
      <c r="E28" t="s">
        <v>145</v>
      </c>
      <c r="F28" t="s">
        <v>405</v>
      </c>
      <c r="G28" t="s">
        <v>321</v>
      </c>
      <c r="H28" s="23" t="s">
        <v>406</v>
      </c>
    </row>
    <row r="29" spans="1:8" x14ac:dyDescent="0.25">
      <c r="A29">
        <v>28</v>
      </c>
      <c r="B29" t="s">
        <v>407</v>
      </c>
      <c r="C29" t="s">
        <v>408</v>
      </c>
      <c r="D29" t="s">
        <v>308</v>
      </c>
      <c r="E29" t="s">
        <v>319</v>
      </c>
      <c r="F29" t="s">
        <v>409</v>
      </c>
      <c r="G29" t="s">
        <v>310</v>
      </c>
      <c r="H29" s="23" t="s">
        <v>410</v>
      </c>
    </row>
    <row r="30" spans="1:8" x14ac:dyDescent="0.25">
      <c r="A30">
        <v>29</v>
      </c>
      <c r="B30" t="s">
        <v>411</v>
      </c>
      <c r="C30" t="s">
        <v>412</v>
      </c>
      <c r="D30" t="s">
        <v>318</v>
      </c>
      <c r="E30" t="s">
        <v>145</v>
      </c>
      <c r="F30" t="s">
        <v>413</v>
      </c>
      <c r="G30" t="s">
        <v>315</v>
      </c>
      <c r="H30" s="23" t="s">
        <v>358</v>
      </c>
    </row>
    <row r="31" spans="1:8" x14ac:dyDescent="0.25">
      <c r="A31">
        <v>30</v>
      </c>
      <c r="B31" t="s">
        <v>414</v>
      </c>
      <c r="C31" t="s">
        <v>415</v>
      </c>
      <c r="D31" t="s">
        <v>308</v>
      </c>
      <c r="E31" t="s">
        <v>313</v>
      </c>
      <c r="F31" t="s">
        <v>346</v>
      </c>
      <c r="G31" t="s">
        <v>321</v>
      </c>
      <c r="H31" s="23" t="s">
        <v>416</v>
      </c>
    </row>
    <row r="32" spans="1:8" x14ac:dyDescent="0.25">
      <c r="A32">
        <v>31</v>
      </c>
      <c r="B32" t="s">
        <v>417</v>
      </c>
      <c r="C32" t="s">
        <v>418</v>
      </c>
      <c r="D32" t="s">
        <v>308</v>
      </c>
      <c r="E32" t="s">
        <v>313</v>
      </c>
      <c r="F32" t="s">
        <v>384</v>
      </c>
      <c r="G32" t="s">
        <v>310</v>
      </c>
      <c r="H32" s="23" t="s">
        <v>419</v>
      </c>
    </row>
    <row r="33" spans="1:8" x14ac:dyDescent="0.25">
      <c r="A33">
        <v>32</v>
      </c>
      <c r="B33" t="s">
        <v>420</v>
      </c>
      <c r="C33" t="s">
        <v>421</v>
      </c>
      <c r="D33" t="s">
        <v>308</v>
      </c>
      <c r="E33" t="s">
        <v>313</v>
      </c>
      <c r="F33" t="s">
        <v>422</v>
      </c>
      <c r="G33" t="s">
        <v>315</v>
      </c>
      <c r="H33" s="23" t="s">
        <v>423</v>
      </c>
    </row>
    <row r="34" spans="1:8" x14ac:dyDescent="0.25">
      <c r="A34">
        <v>33</v>
      </c>
      <c r="B34" t="s">
        <v>424</v>
      </c>
      <c r="C34" t="s">
        <v>425</v>
      </c>
      <c r="D34" t="s">
        <v>308</v>
      </c>
      <c r="E34" t="s">
        <v>313</v>
      </c>
      <c r="F34" t="s">
        <v>361</v>
      </c>
      <c r="G34" t="s">
        <v>321</v>
      </c>
      <c r="H34" s="23" t="s">
        <v>426</v>
      </c>
    </row>
    <row r="35" spans="1:8" x14ac:dyDescent="0.25">
      <c r="A35">
        <v>34</v>
      </c>
      <c r="B35" t="s">
        <v>427</v>
      </c>
      <c r="C35" t="s">
        <v>428</v>
      </c>
      <c r="D35" t="s">
        <v>308</v>
      </c>
      <c r="E35" t="s">
        <v>319</v>
      </c>
      <c r="F35" t="s">
        <v>429</v>
      </c>
      <c r="G35" t="s">
        <v>315</v>
      </c>
      <c r="H35" s="23" t="s">
        <v>430</v>
      </c>
    </row>
    <row r="36" spans="1:8" x14ac:dyDescent="0.25">
      <c r="A36">
        <v>35</v>
      </c>
      <c r="B36" t="s">
        <v>431</v>
      </c>
      <c r="C36" t="s">
        <v>432</v>
      </c>
      <c r="D36" t="s">
        <v>318</v>
      </c>
      <c r="E36" t="s">
        <v>145</v>
      </c>
      <c r="F36" t="s">
        <v>320</v>
      </c>
      <c r="G36" t="s">
        <v>321</v>
      </c>
      <c r="H36" s="23" t="s">
        <v>433</v>
      </c>
    </row>
    <row r="37" spans="1:8" x14ac:dyDescent="0.25">
      <c r="A37">
        <v>36</v>
      </c>
      <c r="B37" t="s">
        <v>434</v>
      </c>
      <c r="C37" t="s">
        <v>435</v>
      </c>
      <c r="D37" t="s">
        <v>308</v>
      </c>
      <c r="E37" t="s">
        <v>145</v>
      </c>
      <c r="F37" t="s">
        <v>405</v>
      </c>
      <c r="G37" t="s">
        <v>310</v>
      </c>
      <c r="H37" s="23" t="s">
        <v>436</v>
      </c>
    </row>
    <row r="38" spans="1:8" x14ac:dyDescent="0.25">
      <c r="A38">
        <v>37</v>
      </c>
      <c r="B38" t="s">
        <v>437</v>
      </c>
      <c r="C38" t="s">
        <v>438</v>
      </c>
      <c r="D38" t="s">
        <v>308</v>
      </c>
      <c r="E38" t="s">
        <v>319</v>
      </c>
      <c r="F38" t="s">
        <v>338</v>
      </c>
      <c r="G38" t="s">
        <v>315</v>
      </c>
      <c r="H38" s="23" t="s">
        <v>439</v>
      </c>
    </row>
    <row r="39" spans="1:8" x14ac:dyDescent="0.25">
      <c r="A39">
        <v>38</v>
      </c>
      <c r="B39" t="s">
        <v>440</v>
      </c>
      <c r="C39" t="s">
        <v>441</v>
      </c>
      <c r="D39" t="s">
        <v>308</v>
      </c>
      <c r="E39" t="s">
        <v>145</v>
      </c>
      <c r="F39" t="s">
        <v>314</v>
      </c>
      <c r="G39" t="s">
        <v>321</v>
      </c>
      <c r="H39" s="23" t="s">
        <v>442</v>
      </c>
    </row>
    <row r="40" spans="1:8" x14ac:dyDescent="0.25">
      <c r="A40">
        <v>39</v>
      </c>
      <c r="B40" t="s">
        <v>443</v>
      </c>
      <c r="C40" t="s">
        <v>444</v>
      </c>
      <c r="D40" t="s">
        <v>308</v>
      </c>
      <c r="E40" t="s">
        <v>145</v>
      </c>
      <c r="F40" t="s">
        <v>320</v>
      </c>
      <c r="G40" t="s">
        <v>321</v>
      </c>
      <c r="H40" s="23" t="s">
        <v>445</v>
      </c>
    </row>
    <row r="41" spans="1:8" x14ac:dyDescent="0.25">
      <c r="A41">
        <v>40</v>
      </c>
      <c r="B41" t="s">
        <v>446</v>
      </c>
      <c r="C41" t="s">
        <v>447</v>
      </c>
      <c r="D41" t="s">
        <v>318</v>
      </c>
      <c r="E41" t="s">
        <v>145</v>
      </c>
      <c r="F41" t="s">
        <v>384</v>
      </c>
      <c r="G41" t="s">
        <v>310</v>
      </c>
      <c r="H41" s="23" t="s">
        <v>448</v>
      </c>
    </row>
    <row r="42" spans="1:8" x14ac:dyDescent="0.25">
      <c r="A42">
        <v>41</v>
      </c>
      <c r="B42" t="s">
        <v>449</v>
      </c>
      <c r="C42" t="s">
        <v>450</v>
      </c>
      <c r="D42" t="s">
        <v>318</v>
      </c>
      <c r="E42" t="s">
        <v>145</v>
      </c>
      <c r="F42" t="s">
        <v>361</v>
      </c>
      <c r="G42" t="s">
        <v>315</v>
      </c>
      <c r="H42" s="23" t="s">
        <v>451</v>
      </c>
    </row>
    <row r="43" spans="1:8" x14ac:dyDescent="0.25">
      <c r="A43">
        <v>42</v>
      </c>
      <c r="B43" t="s">
        <v>452</v>
      </c>
      <c r="C43" t="s">
        <v>453</v>
      </c>
      <c r="D43" t="s">
        <v>308</v>
      </c>
      <c r="E43" t="s">
        <v>145</v>
      </c>
      <c r="F43" t="s">
        <v>384</v>
      </c>
      <c r="G43" t="s">
        <v>321</v>
      </c>
      <c r="H43" s="23" t="s">
        <v>454</v>
      </c>
    </row>
    <row r="44" spans="1:8" x14ac:dyDescent="0.25">
      <c r="A44">
        <v>43</v>
      </c>
      <c r="B44" t="s">
        <v>455</v>
      </c>
      <c r="C44" t="s">
        <v>456</v>
      </c>
      <c r="D44" t="s">
        <v>318</v>
      </c>
      <c r="E44" t="s">
        <v>319</v>
      </c>
      <c r="F44" t="s">
        <v>330</v>
      </c>
      <c r="G44" t="s">
        <v>310</v>
      </c>
      <c r="H44" s="23" t="s">
        <v>365</v>
      </c>
    </row>
    <row r="45" spans="1:8" x14ac:dyDescent="0.25">
      <c r="A45">
        <v>44</v>
      </c>
      <c r="B45" t="s">
        <v>457</v>
      </c>
      <c r="C45" t="s">
        <v>458</v>
      </c>
      <c r="D45" t="s">
        <v>308</v>
      </c>
      <c r="E45" t="s">
        <v>145</v>
      </c>
      <c r="F45" t="s">
        <v>350</v>
      </c>
      <c r="G45" t="s">
        <v>315</v>
      </c>
      <c r="H45" s="23" t="s">
        <v>459</v>
      </c>
    </row>
    <row r="46" spans="1:8" x14ac:dyDescent="0.25">
      <c r="A46">
        <v>45</v>
      </c>
      <c r="B46" t="s">
        <v>460</v>
      </c>
      <c r="C46" t="s">
        <v>461</v>
      </c>
      <c r="D46" t="s">
        <v>318</v>
      </c>
      <c r="E46" t="s">
        <v>145</v>
      </c>
      <c r="F46" t="s">
        <v>361</v>
      </c>
      <c r="G46" t="s">
        <v>321</v>
      </c>
      <c r="H46" s="23" t="s">
        <v>462</v>
      </c>
    </row>
    <row r="47" spans="1:8" x14ac:dyDescent="0.25">
      <c r="A47">
        <v>46</v>
      </c>
      <c r="B47" t="s">
        <v>463</v>
      </c>
      <c r="C47" t="s">
        <v>464</v>
      </c>
      <c r="D47" t="s">
        <v>308</v>
      </c>
      <c r="E47" t="s">
        <v>145</v>
      </c>
      <c r="F47" t="s">
        <v>422</v>
      </c>
      <c r="G47" t="s">
        <v>310</v>
      </c>
      <c r="H47" s="23" t="s">
        <v>465</v>
      </c>
    </row>
    <row r="48" spans="1:8" x14ac:dyDescent="0.25">
      <c r="A48">
        <v>47</v>
      </c>
      <c r="B48" t="s">
        <v>466</v>
      </c>
      <c r="C48" t="s">
        <v>467</v>
      </c>
      <c r="D48" t="s">
        <v>308</v>
      </c>
      <c r="E48" t="s">
        <v>145</v>
      </c>
      <c r="F48" t="s">
        <v>346</v>
      </c>
      <c r="G48" t="s">
        <v>315</v>
      </c>
      <c r="H48" s="23" t="s">
        <v>468</v>
      </c>
    </row>
    <row r="49" spans="1:8" x14ac:dyDescent="0.25">
      <c r="A49">
        <v>48</v>
      </c>
      <c r="B49" t="s">
        <v>469</v>
      </c>
      <c r="C49" t="s">
        <v>470</v>
      </c>
      <c r="D49" t="s">
        <v>308</v>
      </c>
      <c r="E49" t="s">
        <v>145</v>
      </c>
      <c r="F49" t="s">
        <v>309</v>
      </c>
      <c r="G49" t="s">
        <v>321</v>
      </c>
      <c r="H49" s="23" t="s">
        <v>451</v>
      </c>
    </row>
    <row r="50" spans="1:8" x14ac:dyDescent="0.25">
      <c r="A50">
        <v>49</v>
      </c>
      <c r="B50" t="s">
        <v>471</v>
      </c>
      <c r="C50" t="s">
        <v>472</v>
      </c>
      <c r="D50" t="s">
        <v>318</v>
      </c>
      <c r="E50" t="s">
        <v>145</v>
      </c>
      <c r="F50" t="s">
        <v>350</v>
      </c>
      <c r="G50" t="s">
        <v>310</v>
      </c>
      <c r="H50" s="23" t="s">
        <v>451</v>
      </c>
    </row>
    <row r="51" spans="1:8" x14ac:dyDescent="0.25">
      <c r="A51">
        <v>50</v>
      </c>
      <c r="B51" t="s">
        <v>473</v>
      </c>
      <c r="C51" t="s">
        <v>474</v>
      </c>
      <c r="D51" t="s">
        <v>308</v>
      </c>
      <c r="E51" t="s">
        <v>145</v>
      </c>
      <c r="F51" t="s">
        <v>405</v>
      </c>
      <c r="G51" t="s">
        <v>315</v>
      </c>
      <c r="H51" s="23" t="s">
        <v>406</v>
      </c>
    </row>
    <row r="52" spans="1:8" x14ac:dyDescent="0.25">
      <c r="A52">
        <v>51</v>
      </c>
      <c r="B52" t="s">
        <v>285</v>
      </c>
      <c r="C52" t="s">
        <v>307</v>
      </c>
      <c r="D52" t="s">
        <v>308</v>
      </c>
      <c r="E52" t="s">
        <v>145</v>
      </c>
      <c r="F52" t="s">
        <v>309</v>
      </c>
      <c r="G52" t="s">
        <v>310</v>
      </c>
      <c r="H52" s="23" t="s">
        <v>311</v>
      </c>
    </row>
    <row r="53" spans="1:8" x14ac:dyDescent="0.25">
      <c r="A53">
        <v>52</v>
      </c>
      <c r="B53" t="s">
        <v>287</v>
      </c>
      <c r="C53" t="s">
        <v>312</v>
      </c>
      <c r="D53" t="s">
        <v>308</v>
      </c>
      <c r="E53" t="s">
        <v>313</v>
      </c>
      <c r="F53" t="s">
        <v>314</v>
      </c>
      <c r="G53" t="s">
        <v>315</v>
      </c>
      <c r="H53" s="23" t="s">
        <v>316</v>
      </c>
    </row>
    <row r="54" spans="1:8" x14ac:dyDescent="0.25">
      <c r="A54">
        <v>53</v>
      </c>
      <c r="B54" t="s">
        <v>289</v>
      </c>
      <c r="C54" t="s">
        <v>317</v>
      </c>
      <c r="D54" t="s">
        <v>318</v>
      </c>
      <c r="E54" t="s">
        <v>319</v>
      </c>
      <c r="F54" t="s">
        <v>320</v>
      </c>
      <c r="G54" t="s">
        <v>321</v>
      </c>
      <c r="H54" s="23" t="s">
        <v>322</v>
      </c>
    </row>
    <row r="55" spans="1:8" x14ac:dyDescent="0.25">
      <c r="A55">
        <v>54</v>
      </c>
      <c r="B55" t="s">
        <v>291</v>
      </c>
      <c r="C55" t="s">
        <v>323</v>
      </c>
      <c r="D55" t="s">
        <v>308</v>
      </c>
      <c r="E55" t="s">
        <v>145</v>
      </c>
      <c r="F55" t="s">
        <v>314</v>
      </c>
      <c r="G55" t="s">
        <v>310</v>
      </c>
      <c r="H55" s="23" t="s">
        <v>324</v>
      </c>
    </row>
    <row r="56" spans="1:8" x14ac:dyDescent="0.25">
      <c r="A56">
        <v>55</v>
      </c>
      <c r="B56" t="s">
        <v>297</v>
      </c>
      <c r="C56" t="s">
        <v>325</v>
      </c>
      <c r="D56" t="s">
        <v>308</v>
      </c>
      <c r="E56" t="s">
        <v>145</v>
      </c>
      <c r="F56" t="s">
        <v>326</v>
      </c>
      <c r="G56" t="s">
        <v>315</v>
      </c>
      <c r="H56" s="23" t="s">
        <v>327</v>
      </c>
    </row>
    <row r="57" spans="1:8" x14ac:dyDescent="0.25">
      <c r="A57">
        <v>56</v>
      </c>
      <c r="B57" t="s">
        <v>328</v>
      </c>
      <c r="C57" t="s">
        <v>329</v>
      </c>
      <c r="D57" t="s">
        <v>318</v>
      </c>
      <c r="E57" t="s">
        <v>145</v>
      </c>
      <c r="F57" t="s">
        <v>330</v>
      </c>
      <c r="G57" t="s">
        <v>321</v>
      </c>
      <c r="H57" s="23" t="s">
        <v>331</v>
      </c>
    </row>
    <row r="58" spans="1:8" x14ac:dyDescent="0.25">
      <c r="A58">
        <v>57</v>
      </c>
      <c r="B58" t="s">
        <v>332</v>
      </c>
      <c r="C58" t="s">
        <v>333</v>
      </c>
      <c r="D58" t="s">
        <v>308</v>
      </c>
      <c r="E58" t="s">
        <v>313</v>
      </c>
      <c r="F58" t="s">
        <v>334</v>
      </c>
      <c r="G58" t="s">
        <v>310</v>
      </c>
      <c r="H58" s="23" t="s">
        <v>335</v>
      </c>
    </row>
    <row r="59" spans="1:8" x14ac:dyDescent="0.25">
      <c r="A59">
        <v>58</v>
      </c>
      <c r="B59" t="s">
        <v>336</v>
      </c>
      <c r="C59" t="s">
        <v>337</v>
      </c>
      <c r="D59" t="s">
        <v>308</v>
      </c>
      <c r="E59" t="s">
        <v>145</v>
      </c>
      <c r="F59" t="s">
        <v>338</v>
      </c>
      <c r="G59" t="s">
        <v>315</v>
      </c>
      <c r="H59" s="23" t="s">
        <v>339</v>
      </c>
    </row>
    <row r="60" spans="1:8" x14ac:dyDescent="0.25">
      <c r="A60">
        <v>59</v>
      </c>
      <c r="B60" t="s">
        <v>340</v>
      </c>
      <c r="C60" t="s">
        <v>341</v>
      </c>
      <c r="D60" t="s">
        <v>308</v>
      </c>
      <c r="E60" t="s">
        <v>145</v>
      </c>
      <c r="F60" t="s">
        <v>342</v>
      </c>
      <c r="G60" t="s">
        <v>321</v>
      </c>
      <c r="H60" s="23" t="s">
        <v>343</v>
      </c>
    </row>
    <row r="61" spans="1:8" x14ac:dyDescent="0.25">
      <c r="A61">
        <v>60</v>
      </c>
      <c r="B61" t="s">
        <v>344</v>
      </c>
      <c r="C61" t="s">
        <v>345</v>
      </c>
      <c r="D61" t="s">
        <v>308</v>
      </c>
      <c r="E61" t="s">
        <v>313</v>
      </c>
      <c r="F61" t="s">
        <v>346</v>
      </c>
      <c r="G61" t="s">
        <v>315</v>
      </c>
      <c r="H61" s="23" t="s">
        <v>347</v>
      </c>
    </row>
    <row r="62" spans="1:8" x14ac:dyDescent="0.25">
      <c r="A62">
        <v>61</v>
      </c>
      <c r="B62" t="s">
        <v>348</v>
      </c>
      <c r="C62" t="s">
        <v>349</v>
      </c>
      <c r="D62" t="s">
        <v>308</v>
      </c>
      <c r="E62" t="s">
        <v>313</v>
      </c>
      <c r="F62" t="s">
        <v>350</v>
      </c>
      <c r="G62" t="s">
        <v>321</v>
      </c>
      <c r="H62" s="23" t="s">
        <v>351</v>
      </c>
    </row>
    <row r="63" spans="1:8" x14ac:dyDescent="0.25">
      <c r="A63">
        <v>62</v>
      </c>
      <c r="B63" t="s">
        <v>352</v>
      </c>
      <c r="C63" t="s">
        <v>353</v>
      </c>
      <c r="D63" t="s">
        <v>318</v>
      </c>
      <c r="E63" t="s">
        <v>319</v>
      </c>
      <c r="F63" t="s">
        <v>354</v>
      </c>
      <c r="G63" t="s">
        <v>310</v>
      </c>
      <c r="H63" s="23" t="s">
        <v>355</v>
      </c>
    </row>
    <row r="64" spans="1:8" x14ac:dyDescent="0.25">
      <c r="A64">
        <v>63</v>
      </c>
      <c r="B64" t="s">
        <v>356</v>
      </c>
      <c r="C64" t="s">
        <v>357</v>
      </c>
      <c r="D64" t="s">
        <v>308</v>
      </c>
      <c r="E64" t="s">
        <v>313</v>
      </c>
      <c r="F64" t="s">
        <v>309</v>
      </c>
      <c r="G64" t="s">
        <v>315</v>
      </c>
      <c r="H64" s="23" t="s">
        <v>358</v>
      </c>
    </row>
    <row r="65" spans="1:8" x14ac:dyDescent="0.25">
      <c r="A65">
        <v>64</v>
      </c>
      <c r="B65" t="s">
        <v>359</v>
      </c>
      <c r="C65" t="s">
        <v>360</v>
      </c>
      <c r="D65" t="s">
        <v>318</v>
      </c>
      <c r="E65" t="s">
        <v>313</v>
      </c>
      <c r="F65" t="s">
        <v>361</v>
      </c>
      <c r="G65" t="s">
        <v>321</v>
      </c>
      <c r="H65" s="23" t="s">
        <v>322</v>
      </c>
    </row>
    <row r="66" spans="1:8" x14ac:dyDescent="0.25">
      <c r="A66">
        <v>65</v>
      </c>
      <c r="B66" t="s">
        <v>362</v>
      </c>
      <c r="C66" t="s">
        <v>363</v>
      </c>
      <c r="D66" t="s">
        <v>308</v>
      </c>
      <c r="E66" t="s">
        <v>313</v>
      </c>
      <c r="F66" t="s">
        <v>364</v>
      </c>
      <c r="G66" t="s">
        <v>315</v>
      </c>
      <c r="H66" s="23" t="s">
        <v>365</v>
      </c>
    </row>
    <row r="67" spans="1:8" x14ac:dyDescent="0.25">
      <c r="A67">
        <v>66</v>
      </c>
      <c r="B67" t="s">
        <v>366</v>
      </c>
      <c r="C67" t="s">
        <v>367</v>
      </c>
      <c r="D67" t="s">
        <v>308</v>
      </c>
      <c r="E67" t="s">
        <v>319</v>
      </c>
      <c r="F67" t="s">
        <v>330</v>
      </c>
      <c r="G67" t="s">
        <v>321</v>
      </c>
      <c r="H67" s="23" t="s">
        <v>368</v>
      </c>
    </row>
    <row r="68" spans="1:8" x14ac:dyDescent="0.25">
      <c r="A68">
        <v>67</v>
      </c>
      <c r="B68" t="s">
        <v>369</v>
      </c>
      <c r="C68" t="s">
        <v>370</v>
      </c>
      <c r="D68" t="s">
        <v>308</v>
      </c>
      <c r="E68" t="s">
        <v>319</v>
      </c>
      <c r="F68" t="s">
        <v>350</v>
      </c>
      <c r="G68" t="s">
        <v>310</v>
      </c>
      <c r="H68" s="23" t="s">
        <v>371</v>
      </c>
    </row>
    <row r="69" spans="1:8" x14ac:dyDescent="0.25">
      <c r="A69">
        <v>68</v>
      </c>
      <c r="B69" t="s">
        <v>372</v>
      </c>
      <c r="C69" t="s">
        <v>373</v>
      </c>
      <c r="D69" t="s">
        <v>308</v>
      </c>
      <c r="E69" t="s">
        <v>313</v>
      </c>
      <c r="F69" t="s">
        <v>346</v>
      </c>
      <c r="G69" t="s">
        <v>315</v>
      </c>
      <c r="H69" s="23" t="s">
        <v>374</v>
      </c>
    </row>
    <row r="70" spans="1:8" x14ac:dyDescent="0.25">
      <c r="A70">
        <v>69</v>
      </c>
      <c r="B70" t="s">
        <v>375</v>
      </c>
      <c r="C70" t="s">
        <v>376</v>
      </c>
      <c r="D70" t="s">
        <v>308</v>
      </c>
      <c r="E70" t="s">
        <v>319</v>
      </c>
      <c r="F70" t="s">
        <v>361</v>
      </c>
      <c r="G70" t="s">
        <v>321</v>
      </c>
      <c r="H70" s="23" t="s">
        <v>377</v>
      </c>
    </row>
    <row r="71" spans="1:8" x14ac:dyDescent="0.25">
      <c r="A71">
        <v>70</v>
      </c>
      <c r="B71" t="s">
        <v>378</v>
      </c>
      <c r="C71" t="s">
        <v>379</v>
      </c>
      <c r="D71" t="s">
        <v>308</v>
      </c>
      <c r="E71" t="s">
        <v>319</v>
      </c>
      <c r="F71" t="s">
        <v>380</v>
      </c>
      <c r="G71" t="s">
        <v>321</v>
      </c>
      <c r="H71" s="23" t="s">
        <v>381</v>
      </c>
    </row>
    <row r="72" spans="1:8" x14ac:dyDescent="0.25">
      <c r="A72">
        <v>71</v>
      </c>
      <c r="B72" t="s">
        <v>382</v>
      </c>
      <c r="C72" t="s">
        <v>383</v>
      </c>
      <c r="D72" t="s">
        <v>308</v>
      </c>
      <c r="E72" t="s">
        <v>145</v>
      </c>
      <c r="F72" t="s">
        <v>384</v>
      </c>
      <c r="G72" t="s">
        <v>310</v>
      </c>
      <c r="H72" s="23" t="s">
        <v>385</v>
      </c>
    </row>
    <row r="73" spans="1:8" x14ac:dyDescent="0.25">
      <c r="A73">
        <v>72</v>
      </c>
      <c r="B73" t="s">
        <v>386</v>
      </c>
      <c r="C73" t="s">
        <v>387</v>
      </c>
      <c r="D73" t="s">
        <v>308</v>
      </c>
      <c r="E73" t="s">
        <v>145</v>
      </c>
      <c r="F73" t="s">
        <v>388</v>
      </c>
      <c r="G73" t="s">
        <v>315</v>
      </c>
      <c r="H73" s="23" t="s">
        <v>389</v>
      </c>
    </row>
    <row r="74" spans="1:8" x14ac:dyDescent="0.25">
      <c r="A74">
        <v>73</v>
      </c>
      <c r="B74" t="s">
        <v>390</v>
      </c>
      <c r="C74" t="s">
        <v>391</v>
      </c>
      <c r="D74" t="s">
        <v>308</v>
      </c>
      <c r="E74" t="s">
        <v>313</v>
      </c>
      <c r="F74" t="s">
        <v>380</v>
      </c>
      <c r="G74" t="s">
        <v>321</v>
      </c>
      <c r="H74" s="23" t="s">
        <v>392</v>
      </c>
    </row>
    <row r="75" spans="1:8" x14ac:dyDescent="0.25">
      <c r="A75">
        <v>74</v>
      </c>
      <c r="B75" t="s">
        <v>393</v>
      </c>
      <c r="C75" t="s">
        <v>394</v>
      </c>
      <c r="D75" t="s">
        <v>308</v>
      </c>
      <c r="E75" t="s">
        <v>319</v>
      </c>
      <c r="F75" t="s">
        <v>395</v>
      </c>
      <c r="G75" t="s">
        <v>321</v>
      </c>
      <c r="H75" s="23" t="s">
        <v>392</v>
      </c>
    </row>
    <row r="76" spans="1:8" x14ac:dyDescent="0.25">
      <c r="A76">
        <v>75</v>
      </c>
      <c r="B76" t="s">
        <v>396</v>
      </c>
      <c r="C76" t="s">
        <v>397</v>
      </c>
      <c r="D76" t="s">
        <v>318</v>
      </c>
      <c r="E76" t="s">
        <v>319</v>
      </c>
      <c r="F76" t="s">
        <v>398</v>
      </c>
      <c r="G76" t="s">
        <v>310</v>
      </c>
      <c r="H76" s="23" t="s">
        <v>399</v>
      </c>
    </row>
    <row r="77" spans="1:8" x14ac:dyDescent="0.25">
      <c r="A77">
        <v>76</v>
      </c>
      <c r="B77" t="s">
        <v>400</v>
      </c>
      <c r="C77" t="s">
        <v>401</v>
      </c>
      <c r="D77" t="s">
        <v>308</v>
      </c>
      <c r="E77" t="s">
        <v>313</v>
      </c>
      <c r="F77" t="s">
        <v>346</v>
      </c>
      <c r="G77" t="s">
        <v>315</v>
      </c>
      <c r="H77" s="23" t="s">
        <v>402</v>
      </c>
    </row>
    <row r="78" spans="1:8" x14ac:dyDescent="0.25">
      <c r="A78">
        <v>77</v>
      </c>
      <c r="B78" t="s">
        <v>403</v>
      </c>
      <c r="C78" t="s">
        <v>404</v>
      </c>
      <c r="D78" t="s">
        <v>308</v>
      </c>
      <c r="E78" t="s">
        <v>145</v>
      </c>
      <c r="F78" t="s">
        <v>405</v>
      </c>
      <c r="G78" t="s">
        <v>321</v>
      </c>
      <c r="H78" s="23" t="s">
        <v>406</v>
      </c>
    </row>
    <row r="79" spans="1:8" x14ac:dyDescent="0.25">
      <c r="A79">
        <v>78</v>
      </c>
      <c r="B79" t="s">
        <v>407</v>
      </c>
      <c r="C79" t="s">
        <v>408</v>
      </c>
      <c r="D79" t="s">
        <v>308</v>
      </c>
      <c r="E79" t="s">
        <v>319</v>
      </c>
      <c r="F79" t="s">
        <v>409</v>
      </c>
      <c r="G79" t="s">
        <v>310</v>
      </c>
      <c r="H79" s="23" t="s">
        <v>410</v>
      </c>
    </row>
    <row r="80" spans="1:8" x14ac:dyDescent="0.25">
      <c r="A80">
        <v>79</v>
      </c>
      <c r="B80" t="s">
        <v>411</v>
      </c>
      <c r="C80" t="s">
        <v>412</v>
      </c>
      <c r="D80" t="s">
        <v>318</v>
      </c>
      <c r="E80" t="s">
        <v>145</v>
      </c>
      <c r="F80" t="s">
        <v>413</v>
      </c>
      <c r="G80" t="s">
        <v>315</v>
      </c>
      <c r="H80" s="23" t="s">
        <v>358</v>
      </c>
    </row>
    <row r="81" spans="1:8" x14ac:dyDescent="0.25">
      <c r="A81">
        <v>80</v>
      </c>
      <c r="B81" t="s">
        <v>414</v>
      </c>
      <c r="C81" t="s">
        <v>415</v>
      </c>
      <c r="D81" t="s">
        <v>308</v>
      </c>
      <c r="E81" t="s">
        <v>313</v>
      </c>
      <c r="F81" t="s">
        <v>346</v>
      </c>
      <c r="G81" t="s">
        <v>321</v>
      </c>
      <c r="H81" s="23" t="s">
        <v>416</v>
      </c>
    </row>
    <row r="82" spans="1:8" x14ac:dyDescent="0.25">
      <c r="A82">
        <v>81</v>
      </c>
      <c r="B82" t="s">
        <v>417</v>
      </c>
      <c r="C82" t="s">
        <v>418</v>
      </c>
      <c r="D82" t="s">
        <v>308</v>
      </c>
      <c r="E82" t="s">
        <v>313</v>
      </c>
      <c r="F82" t="s">
        <v>384</v>
      </c>
      <c r="G82" t="s">
        <v>310</v>
      </c>
      <c r="H82" s="23" t="s">
        <v>419</v>
      </c>
    </row>
    <row r="83" spans="1:8" x14ac:dyDescent="0.25">
      <c r="A83">
        <v>82</v>
      </c>
      <c r="B83" t="s">
        <v>420</v>
      </c>
      <c r="C83" t="s">
        <v>421</v>
      </c>
      <c r="D83" t="s">
        <v>308</v>
      </c>
      <c r="E83" t="s">
        <v>313</v>
      </c>
      <c r="F83" t="s">
        <v>422</v>
      </c>
      <c r="G83" t="s">
        <v>315</v>
      </c>
      <c r="H83" s="23" t="s">
        <v>423</v>
      </c>
    </row>
    <row r="84" spans="1:8" x14ac:dyDescent="0.25">
      <c r="A84">
        <v>83</v>
      </c>
      <c r="B84" t="s">
        <v>424</v>
      </c>
      <c r="C84" t="s">
        <v>425</v>
      </c>
      <c r="D84" t="s">
        <v>308</v>
      </c>
      <c r="E84" t="s">
        <v>313</v>
      </c>
      <c r="F84" t="s">
        <v>361</v>
      </c>
      <c r="G84" t="s">
        <v>321</v>
      </c>
      <c r="H84" s="23" t="s">
        <v>426</v>
      </c>
    </row>
    <row r="85" spans="1:8" x14ac:dyDescent="0.25">
      <c r="A85">
        <v>84</v>
      </c>
      <c r="B85" t="s">
        <v>427</v>
      </c>
      <c r="C85" t="s">
        <v>428</v>
      </c>
      <c r="D85" t="s">
        <v>308</v>
      </c>
      <c r="E85" t="s">
        <v>319</v>
      </c>
      <c r="F85" t="s">
        <v>429</v>
      </c>
      <c r="G85" t="s">
        <v>315</v>
      </c>
      <c r="H85" s="23" t="s">
        <v>430</v>
      </c>
    </row>
    <row r="86" spans="1:8" x14ac:dyDescent="0.25">
      <c r="A86">
        <v>85</v>
      </c>
      <c r="B86" t="s">
        <v>431</v>
      </c>
      <c r="C86" t="s">
        <v>432</v>
      </c>
      <c r="D86" t="s">
        <v>318</v>
      </c>
      <c r="E86" t="s">
        <v>145</v>
      </c>
      <c r="F86" t="s">
        <v>320</v>
      </c>
      <c r="G86" t="s">
        <v>321</v>
      </c>
      <c r="H86" s="23" t="s">
        <v>433</v>
      </c>
    </row>
    <row r="87" spans="1:8" x14ac:dyDescent="0.25">
      <c r="A87">
        <v>86</v>
      </c>
      <c r="B87" t="s">
        <v>434</v>
      </c>
      <c r="C87" t="s">
        <v>435</v>
      </c>
      <c r="D87" t="s">
        <v>308</v>
      </c>
      <c r="E87" t="s">
        <v>145</v>
      </c>
      <c r="F87" t="s">
        <v>405</v>
      </c>
      <c r="G87" t="s">
        <v>310</v>
      </c>
      <c r="H87" s="23" t="s">
        <v>436</v>
      </c>
    </row>
    <row r="88" spans="1:8" x14ac:dyDescent="0.25">
      <c r="A88">
        <v>87</v>
      </c>
      <c r="B88" t="s">
        <v>437</v>
      </c>
      <c r="C88" t="s">
        <v>438</v>
      </c>
      <c r="D88" t="s">
        <v>308</v>
      </c>
      <c r="E88" t="s">
        <v>319</v>
      </c>
      <c r="F88" t="s">
        <v>338</v>
      </c>
      <c r="G88" t="s">
        <v>315</v>
      </c>
      <c r="H88" s="23" t="s">
        <v>439</v>
      </c>
    </row>
    <row r="89" spans="1:8" x14ac:dyDescent="0.25">
      <c r="A89">
        <v>88</v>
      </c>
      <c r="B89" t="s">
        <v>440</v>
      </c>
      <c r="C89" t="s">
        <v>441</v>
      </c>
      <c r="D89" t="s">
        <v>308</v>
      </c>
      <c r="E89" t="s">
        <v>145</v>
      </c>
      <c r="F89" t="s">
        <v>314</v>
      </c>
      <c r="G89" t="s">
        <v>321</v>
      </c>
      <c r="H89" s="23" t="s">
        <v>442</v>
      </c>
    </row>
    <row r="90" spans="1:8" x14ac:dyDescent="0.25">
      <c r="A90">
        <v>89</v>
      </c>
      <c r="B90" t="s">
        <v>443</v>
      </c>
      <c r="C90" t="s">
        <v>444</v>
      </c>
      <c r="D90" t="s">
        <v>308</v>
      </c>
      <c r="E90" t="s">
        <v>145</v>
      </c>
      <c r="F90" t="s">
        <v>320</v>
      </c>
      <c r="G90" t="s">
        <v>321</v>
      </c>
      <c r="H90" s="23" t="s">
        <v>445</v>
      </c>
    </row>
    <row r="91" spans="1:8" x14ac:dyDescent="0.25">
      <c r="A91">
        <v>90</v>
      </c>
      <c r="B91" t="s">
        <v>446</v>
      </c>
      <c r="C91" t="s">
        <v>447</v>
      </c>
      <c r="D91" t="s">
        <v>318</v>
      </c>
      <c r="E91" t="s">
        <v>145</v>
      </c>
      <c r="F91" t="s">
        <v>384</v>
      </c>
      <c r="G91" t="s">
        <v>310</v>
      </c>
      <c r="H91" s="23" t="s">
        <v>448</v>
      </c>
    </row>
    <row r="92" spans="1:8" x14ac:dyDescent="0.25">
      <c r="A92">
        <v>91</v>
      </c>
      <c r="B92" t="s">
        <v>449</v>
      </c>
      <c r="C92" t="s">
        <v>450</v>
      </c>
      <c r="D92" t="s">
        <v>318</v>
      </c>
      <c r="E92" t="s">
        <v>145</v>
      </c>
      <c r="F92" t="s">
        <v>361</v>
      </c>
      <c r="G92" t="s">
        <v>315</v>
      </c>
      <c r="H92" s="23" t="s">
        <v>451</v>
      </c>
    </row>
    <row r="93" spans="1:8" x14ac:dyDescent="0.25">
      <c r="A93">
        <v>92</v>
      </c>
      <c r="B93" t="s">
        <v>452</v>
      </c>
      <c r="C93" t="s">
        <v>453</v>
      </c>
      <c r="D93" t="s">
        <v>308</v>
      </c>
      <c r="E93" t="s">
        <v>145</v>
      </c>
      <c r="F93" t="s">
        <v>384</v>
      </c>
      <c r="G93" t="s">
        <v>321</v>
      </c>
      <c r="H93" s="23" t="s">
        <v>454</v>
      </c>
    </row>
    <row r="94" spans="1:8" x14ac:dyDescent="0.25">
      <c r="A94">
        <v>93</v>
      </c>
      <c r="B94" t="s">
        <v>455</v>
      </c>
      <c r="C94" t="s">
        <v>456</v>
      </c>
      <c r="D94" t="s">
        <v>318</v>
      </c>
      <c r="E94" t="s">
        <v>319</v>
      </c>
      <c r="F94" t="s">
        <v>330</v>
      </c>
      <c r="G94" t="s">
        <v>310</v>
      </c>
      <c r="H94" s="23" t="s">
        <v>365</v>
      </c>
    </row>
    <row r="95" spans="1:8" x14ac:dyDescent="0.25">
      <c r="A95">
        <v>94</v>
      </c>
      <c r="B95" t="s">
        <v>457</v>
      </c>
      <c r="C95" t="s">
        <v>458</v>
      </c>
      <c r="D95" t="s">
        <v>308</v>
      </c>
      <c r="E95" t="s">
        <v>145</v>
      </c>
      <c r="F95" t="s">
        <v>350</v>
      </c>
      <c r="G95" t="s">
        <v>315</v>
      </c>
      <c r="H95" s="23" t="s">
        <v>459</v>
      </c>
    </row>
    <row r="96" spans="1:8" x14ac:dyDescent="0.25">
      <c r="A96">
        <v>95</v>
      </c>
      <c r="B96" t="s">
        <v>460</v>
      </c>
      <c r="C96" t="s">
        <v>461</v>
      </c>
      <c r="D96" t="s">
        <v>318</v>
      </c>
      <c r="E96" t="s">
        <v>145</v>
      </c>
      <c r="F96" t="s">
        <v>361</v>
      </c>
      <c r="G96" t="s">
        <v>321</v>
      </c>
      <c r="H96" s="23" t="s">
        <v>462</v>
      </c>
    </row>
    <row r="97" spans="1:8" x14ac:dyDescent="0.25">
      <c r="A97">
        <v>96</v>
      </c>
      <c r="B97" t="s">
        <v>463</v>
      </c>
      <c r="C97" t="s">
        <v>464</v>
      </c>
      <c r="D97" t="s">
        <v>308</v>
      </c>
      <c r="E97" t="s">
        <v>145</v>
      </c>
      <c r="F97" t="s">
        <v>422</v>
      </c>
      <c r="G97" t="s">
        <v>310</v>
      </c>
      <c r="H97" s="23" t="s">
        <v>465</v>
      </c>
    </row>
    <row r="98" spans="1:8" x14ac:dyDescent="0.25">
      <c r="A98">
        <v>97</v>
      </c>
      <c r="B98" t="s">
        <v>466</v>
      </c>
      <c r="C98" t="s">
        <v>467</v>
      </c>
      <c r="D98" t="s">
        <v>308</v>
      </c>
      <c r="E98" t="s">
        <v>145</v>
      </c>
      <c r="F98" t="s">
        <v>346</v>
      </c>
      <c r="G98" t="s">
        <v>315</v>
      </c>
      <c r="H98" s="23" t="s">
        <v>468</v>
      </c>
    </row>
    <row r="99" spans="1:8" x14ac:dyDescent="0.25">
      <c r="A99">
        <v>98</v>
      </c>
      <c r="B99" t="s">
        <v>469</v>
      </c>
      <c r="C99" t="s">
        <v>470</v>
      </c>
      <c r="D99" t="s">
        <v>308</v>
      </c>
      <c r="E99" t="s">
        <v>145</v>
      </c>
      <c r="F99" t="s">
        <v>309</v>
      </c>
      <c r="G99" t="s">
        <v>321</v>
      </c>
      <c r="H99" s="23" t="s">
        <v>451</v>
      </c>
    </row>
    <row r="100" spans="1:8" x14ac:dyDescent="0.25">
      <c r="A100">
        <v>99</v>
      </c>
      <c r="B100" t="s">
        <v>471</v>
      </c>
      <c r="C100" t="s">
        <v>472</v>
      </c>
      <c r="D100" t="s">
        <v>318</v>
      </c>
      <c r="E100" t="s">
        <v>145</v>
      </c>
      <c r="F100" t="s">
        <v>350</v>
      </c>
      <c r="G100" t="s">
        <v>310</v>
      </c>
      <c r="H100" s="23" t="s">
        <v>451</v>
      </c>
    </row>
    <row r="101" spans="1:8" x14ac:dyDescent="0.25">
      <c r="A101">
        <v>100</v>
      </c>
      <c r="B101" t="s">
        <v>473</v>
      </c>
      <c r="C101" t="s">
        <v>474</v>
      </c>
      <c r="D101" t="s">
        <v>308</v>
      </c>
      <c r="E101" t="s">
        <v>145</v>
      </c>
      <c r="F101" t="s">
        <v>405</v>
      </c>
      <c r="G101" t="s">
        <v>315</v>
      </c>
      <c r="H101" s="23" t="s">
        <v>406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EEF9-C805-48A6-906A-1CA8B140029A}">
  <dimension ref="A1:H101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12.85546875" bestFit="1" customWidth="1"/>
    <col min="3" max="3" width="12.42578125" bestFit="1" customWidth="1"/>
    <col min="4" max="4" width="10" bestFit="1" customWidth="1"/>
    <col min="5" max="5" width="12.85546875" bestFit="1" customWidth="1"/>
    <col min="6" max="6" width="6.7109375" bestFit="1" customWidth="1"/>
    <col min="7" max="7" width="10.7109375" bestFit="1" customWidth="1"/>
    <col min="8" max="8" width="5" bestFit="1" customWidth="1"/>
  </cols>
  <sheetData>
    <row r="1" spans="1:8" x14ac:dyDescent="0.25">
      <c r="A1" t="s">
        <v>304</v>
      </c>
      <c r="B1" t="s">
        <v>197</v>
      </c>
      <c r="C1" t="s">
        <v>196</v>
      </c>
      <c r="D1" t="s">
        <v>11</v>
      </c>
      <c r="E1" t="s">
        <v>137</v>
      </c>
      <c r="F1" t="s">
        <v>305</v>
      </c>
      <c r="G1" t="s">
        <v>125</v>
      </c>
      <c r="H1" t="s">
        <v>306</v>
      </c>
    </row>
    <row r="2" spans="1:8" x14ac:dyDescent="0.25">
      <c r="A2">
        <v>1</v>
      </c>
      <c r="B2" t="s">
        <v>285</v>
      </c>
      <c r="C2" t="s">
        <v>307</v>
      </c>
      <c r="D2" t="s">
        <v>308</v>
      </c>
      <c r="E2" t="s">
        <v>145</v>
      </c>
      <c r="F2" t="s">
        <v>309</v>
      </c>
      <c r="G2" t="s">
        <v>475</v>
      </c>
      <c r="H2" t="s">
        <v>311</v>
      </c>
    </row>
    <row r="3" spans="1:8" x14ac:dyDescent="0.25">
      <c r="A3">
        <v>2</v>
      </c>
      <c r="B3" t="s">
        <v>287</v>
      </c>
      <c r="C3" t="s">
        <v>312</v>
      </c>
      <c r="D3" t="s">
        <v>308</v>
      </c>
      <c r="E3" t="s">
        <v>313</v>
      </c>
      <c r="F3" t="s">
        <v>314</v>
      </c>
      <c r="G3" t="s">
        <v>476</v>
      </c>
      <c r="H3" t="s">
        <v>316</v>
      </c>
    </row>
    <row r="4" spans="1:8" x14ac:dyDescent="0.25">
      <c r="A4">
        <v>3</v>
      </c>
      <c r="B4" t="s">
        <v>289</v>
      </c>
      <c r="C4" t="s">
        <v>317</v>
      </c>
      <c r="D4" t="s">
        <v>318</v>
      </c>
      <c r="E4" t="s">
        <v>319</v>
      </c>
      <c r="F4" t="s">
        <v>320</v>
      </c>
      <c r="G4" t="s">
        <v>477</v>
      </c>
      <c r="H4" t="s">
        <v>322</v>
      </c>
    </row>
    <row r="5" spans="1:8" x14ac:dyDescent="0.25">
      <c r="A5">
        <v>4</v>
      </c>
      <c r="B5" t="s">
        <v>291</v>
      </c>
      <c r="C5" t="s">
        <v>323</v>
      </c>
      <c r="D5" t="s">
        <v>308</v>
      </c>
      <c r="E5" t="s">
        <v>145</v>
      </c>
      <c r="F5" t="s">
        <v>314</v>
      </c>
      <c r="G5" t="s">
        <v>475</v>
      </c>
      <c r="H5" t="s">
        <v>324</v>
      </c>
    </row>
    <row r="6" spans="1:8" x14ac:dyDescent="0.25">
      <c r="A6">
        <v>5</v>
      </c>
      <c r="B6" t="s">
        <v>297</v>
      </c>
      <c r="C6" t="s">
        <v>325</v>
      </c>
      <c r="D6" t="s">
        <v>308</v>
      </c>
      <c r="E6" t="s">
        <v>145</v>
      </c>
      <c r="F6" t="s">
        <v>326</v>
      </c>
      <c r="G6" t="s">
        <v>476</v>
      </c>
      <c r="H6" t="s">
        <v>327</v>
      </c>
    </row>
    <row r="7" spans="1:8" x14ac:dyDescent="0.25">
      <c r="A7">
        <v>6</v>
      </c>
      <c r="B7" t="s">
        <v>328</v>
      </c>
      <c r="C7" t="s">
        <v>329</v>
      </c>
      <c r="D7" t="s">
        <v>318</v>
      </c>
      <c r="E7" t="s">
        <v>145</v>
      </c>
      <c r="F7" t="s">
        <v>330</v>
      </c>
      <c r="G7" t="s">
        <v>477</v>
      </c>
      <c r="H7" t="s">
        <v>331</v>
      </c>
    </row>
    <row r="8" spans="1:8" x14ac:dyDescent="0.25">
      <c r="A8">
        <v>7</v>
      </c>
      <c r="B8" t="s">
        <v>332</v>
      </c>
      <c r="C8" t="s">
        <v>333</v>
      </c>
      <c r="D8" t="s">
        <v>308</v>
      </c>
      <c r="E8" t="s">
        <v>313</v>
      </c>
      <c r="F8" t="s">
        <v>334</v>
      </c>
      <c r="G8" t="s">
        <v>475</v>
      </c>
      <c r="H8" t="s">
        <v>335</v>
      </c>
    </row>
    <row r="9" spans="1:8" x14ac:dyDescent="0.25">
      <c r="A9">
        <v>8</v>
      </c>
      <c r="B9" t="s">
        <v>336</v>
      </c>
      <c r="C9" t="s">
        <v>337</v>
      </c>
      <c r="D9" t="s">
        <v>308</v>
      </c>
      <c r="E9" t="s">
        <v>145</v>
      </c>
      <c r="F9" t="s">
        <v>338</v>
      </c>
      <c r="G9" t="s">
        <v>476</v>
      </c>
      <c r="H9" t="s">
        <v>339</v>
      </c>
    </row>
    <row r="10" spans="1:8" x14ac:dyDescent="0.25">
      <c r="A10">
        <v>9</v>
      </c>
      <c r="B10" t="s">
        <v>340</v>
      </c>
      <c r="C10" t="s">
        <v>341</v>
      </c>
      <c r="D10" t="s">
        <v>308</v>
      </c>
      <c r="E10" t="s">
        <v>145</v>
      </c>
      <c r="F10" t="s">
        <v>342</v>
      </c>
      <c r="G10" t="s">
        <v>477</v>
      </c>
      <c r="H10" t="s">
        <v>343</v>
      </c>
    </row>
    <row r="11" spans="1:8" x14ac:dyDescent="0.25">
      <c r="A11">
        <v>10</v>
      </c>
      <c r="B11" t="s">
        <v>344</v>
      </c>
      <c r="C11" t="s">
        <v>345</v>
      </c>
      <c r="D11" t="s">
        <v>308</v>
      </c>
      <c r="E11" t="s">
        <v>313</v>
      </c>
      <c r="F11" t="s">
        <v>346</v>
      </c>
      <c r="G11" t="s">
        <v>476</v>
      </c>
      <c r="H11" t="s">
        <v>347</v>
      </c>
    </row>
    <row r="12" spans="1:8" x14ac:dyDescent="0.25">
      <c r="A12">
        <v>11</v>
      </c>
      <c r="B12" t="s">
        <v>348</v>
      </c>
      <c r="C12" t="s">
        <v>349</v>
      </c>
      <c r="D12" t="s">
        <v>308</v>
      </c>
      <c r="E12" t="s">
        <v>313</v>
      </c>
      <c r="F12" t="s">
        <v>350</v>
      </c>
      <c r="G12" t="s">
        <v>477</v>
      </c>
      <c r="H12" t="s">
        <v>351</v>
      </c>
    </row>
    <row r="13" spans="1:8" x14ac:dyDescent="0.25">
      <c r="A13">
        <v>12</v>
      </c>
      <c r="B13" t="s">
        <v>352</v>
      </c>
      <c r="C13" t="s">
        <v>353</v>
      </c>
      <c r="D13" t="s">
        <v>318</v>
      </c>
      <c r="E13" t="s">
        <v>319</v>
      </c>
      <c r="F13" t="s">
        <v>354</v>
      </c>
      <c r="G13" t="s">
        <v>475</v>
      </c>
      <c r="H13" t="s">
        <v>355</v>
      </c>
    </row>
    <row r="14" spans="1:8" x14ac:dyDescent="0.25">
      <c r="A14">
        <v>13</v>
      </c>
      <c r="B14" t="s">
        <v>356</v>
      </c>
      <c r="C14" t="s">
        <v>357</v>
      </c>
      <c r="D14" t="s">
        <v>308</v>
      </c>
      <c r="E14" t="s">
        <v>313</v>
      </c>
      <c r="F14" t="s">
        <v>309</v>
      </c>
      <c r="G14" t="s">
        <v>476</v>
      </c>
      <c r="H14" t="s">
        <v>358</v>
      </c>
    </row>
    <row r="15" spans="1:8" x14ac:dyDescent="0.25">
      <c r="A15">
        <v>14</v>
      </c>
      <c r="B15" t="s">
        <v>359</v>
      </c>
      <c r="C15" t="s">
        <v>360</v>
      </c>
      <c r="D15" t="s">
        <v>318</v>
      </c>
      <c r="E15" t="s">
        <v>313</v>
      </c>
      <c r="F15" t="s">
        <v>361</v>
      </c>
      <c r="G15" t="s">
        <v>477</v>
      </c>
      <c r="H15" t="s">
        <v>322</v>
      </c>
    </row>
    <row r="16" spans="1:8" x14ac:dyDescent="0.25">
      <c r="A16">
        <v>15</v>
      </c>
      <c r="B16" t="s">
        <v>362</v>
      </c>
      <c r="C16" t="s">
        <v>363</v>
      </c>
      <c r="D16" t="s">
        <v>308</v>
      </c>
      <c r="E16" t="s">
        <v>313</v>
      </c>
      <c r="F16" t="s">
        <v>364</v>
      </c>
      <c r="G16" t="s">
        <v>476</v>
      </c>
      <c r="H16" t="s">
        <v>365</v>
      </c>
    </row>
    <row r="17" spans="1:8" x14ac:dyDescent="0.25">
      <c r="A17">
        <v>16</v>
      </c>
      <c r="B17" t="s">
        <v>366</v>
      </c>
      <c r="C17" t="s">
        <v>367</v>
      </c>
      <c r="D17" t="s">
        <v>308</v>
      </c>
      <c r="E17" t="s">
        <v>319</v>
      </c>
      <c r="F17" t="s">
        <v>330</v>
      </c>
      <c r="G17" t="s">
        <v>477</v>
      </c>
      <c r="H17" t="s">
        <v>368</v>
      </c>
    </row>
    <row r="18" spans="1:8" x14ac:dyDescent="0.25">
      <c r="A18">
        <v>17</v>
      </c>
      <c r="B18" t="s">
        <v>369</v>
      </c>
      <c r="C18" t="s">
        <v>370</v>
      </c>
      <c r="D18" t="s">
        <v>308</v>
      </c>
      <c r="E18" t="s">
        <v>319</v>
      </c>
      <c r="F18" t="s">
        <v>350</v>
      </c>
      <c r="G18" t="s">
        <v>475</v>
      </c>
      <c r="H18" t="s">
        <v>371</v>
      </c>
    </row>
    <row r="19" spans="1:8" x14ac:dyDescent="0.25">
      <c r="A19">
        <v>18</v>
      </c>
      <c r="B19" t="s">
        <v>372</v>
      </c>
      <c r="C19" t="s">
        <v>373</v>
      </c>
      <c r="D19" t="s">
        <v>308</v>
      </c>
      <c r="E19" t="s">
        <v>313</v>
      </c>
      <c r="F19" t="s">
        <v>346</v>
      </c>
      <c r="G19" t="s">
        <v>476</v>
      </c>
      <c r="H19" t="s">
        <v>374</v>
      </c>
    </row>
    <row r="20" spans="1:8" x14ac:dyDescent="0.25">
      <c r="A20">
        <v>19</v>
      </c>
      <c r="B20" t="s">
        <v>375</v>
      </c>
      <c r="C20" t="s">
        <v>376</v>
      </c>
      <c r="D20" t="s">
        <v>308</v>
      </c>
      <c r="E20" t="s">
        <v>319</v>
      </c>
      <c r="F20" t="s">
        <v>361</v>
      </c>
      <c r="G20" t="s">
        <v>477</v>
      </c>
      <c r="H20" t="s">
        <v>377</v>
      </c>
    </row>
    <row r="21" spans="1:8" x14ac:dyDescent="0.25">
      <c r="A21">
        <v>20</v>
      </c>
      <c r="B21" t="s">
        <v>378</v>
      </c>
      <c r="C21" t="s">
        <v>379</v>
      </c>
      <c r="D21" t="s">
        <v>308</v>
      </c>
      <c r="E21" t="s">
        <v>319</v>
      </c>
      <c r="F21" t="s">
        <v>380</v>
      </c>
      <c r="G21" t="s">
        <v>477</v>
      </c>
      <c r="H21" t="s">
        <v>381</v>
      </c>
    </row>
    <row r="22" spans="1:8" x14ac:dyDescent="0.25">
      <c r="A22">
        <v>21</v>
      </c>
      <c r="B22" t="s">
        <v>382</v>
      </c>
      <c r="C22" t="s">
        <v>383</v>
      </c>
      <c r="D22" t="s">
        <v>308</v>
      </c>
      <c r="E22" t="s">
        <v>145</v>
      </c>
      <c r="F22" t="s">
        <v>384</v>
      </c>
      <c r="G22" t="s">
        <v>475</v>
      </c>
      <c r="H22" t="s">
        <v>385</v>
      </c>
    </row>
    <row r="23" spans="1:8" x14ac:dyDescent="0.25">
      <c r="A23">
        <v>22</v>
      </c>
      <c r="B23" t="s">
        <v>386</v>
      </c>
      <c r="C23" t="s">
        <v>387</v>
      </c>
      <c r="D23" t="s">
        <v>308</v>
      </c>
      <c r="E23" t="s">
        <v>145</v>
      </c>
      <c r="F23" t="s">
        <v>388</v>
      </c>
      <c r="G23" t="s">
        <v>476</v>
      </c>
      <c r="H23" t="s">
        <v>389</v>
      </c>
    </row>
    <row r="24" spans="1:8" x14ac:dyDescent="0.25">
      <c r="A24">
        <v>23</v>
      </c>
      <c r="B24" t="s">
        <v>390</v>
      </c>
      <c r="C24" t="s">
        <v>391</v>
      </c>
      <c r="D24" t="s">
        <v>308</v>
      </c>
      <c r="E24" t="s">
        <v>313</v>
      </c>
      <c r="F24" t="s">
        <v>380</v>
      </c>
      <c r="G24" t="s">
        <v>477</v>
      </c>
      <c r="H24" t="s">
        <v>392</v>
      </c>
    </row>
    <row r="25" spans="1:8" x14ac:dyDescent="0.25">
      <c r="A25">
        <v>24</v>
      </c>
      <c r="B25" t="s">
        <v>393</v>
      </c>
      <c r="C25" t="s">
        <v>394</v>
      </c>
      <c r="D25" t="s">
        <v>308</v>
      </c>
      <c r="E25" t="s">
        <v>319</v>
      </c>
      <c r="F25" t="s">
        <v>395</v>
      </c>
      <c r="G25" t="s">
        <v>477</v>
      </c>
      <c r="H25" t="s">
        <v>392</v>
      </c>
    </row>
    <row r="26" spans="1:8" x14ac:dyDescent="0.25">
      <c r="A26">
        <v>25</v>
      </c>
      <c r="B26" t="s">
        <v>396</v>
      </c>
      <c r="C26" t="s">
        <v>397</v>
      </c>
      <c r="D26" t="s">
        <v>318</v>
      </c>
      <c r="E26" t="s">
        <v>319</v>
      </c>
      <c r="F26" t="s">
        <v>398</v>
      </c>
      <c r="G26" t="s">
        <v>475</v>
      </c>
      <c r="H26" t="s">
        <v>399</v>
      </c>
    </row>
    <row r="27" spans="1:8" x14ac:dyDescent="0.25">
      <c r="A27">
        <v>26</v>
      </c>
      <c r="B27" t="s">
        <v>400</v>
      </c>
      <c r="C27" t="s">
        <v>401</v>
      </c>
      <c r="D27" t="s">
        <v>308</v>
      </c>
      <c r="E27" t="s">
        <v>313</v>
      </c>
      <c r="F27" t="s">
        <v>346</v>
      </c>
      <c r="G27" t="s">
        <v>476</v>
      </c>
      <c r="H27" t="s">
        <v>402</v>
      </c>
    </row>
    <row r="28" spans="1:8" x14ac:dyDescent="0.25">
      <c r="A28">
        <v>27</v>
      </c>
      <c r="B28" t="s">
        <v>403</v>
      </c>
      <c r="C28" t="s">
        <v>404</v>
      </c>
      <c r="D28" t="s">
        <v>308</v>
      </c>
      <c r="E28" t="s">
        <v>145</v>
      </c>
      <c r="F28" t="s">
        <v>405</v>
      </c>
      <c r="G28" t="s">
        <v>477</v>
      </c>
      <c r="H28" t="s">
        <v>406</v>
      </c>
    </row>
    <row r="29" spans="1:8" x14ac:dyDescent="0.25">
      <c r="A29">
        <v>28</v>
      </c>
      <c r="B29" t="s">
        <v>407</v>
      </c>
      <c r="C29" t="s">
        <v>408</v>
      </c>
      <c r="D29" t="s">
        <v>308</v>
      </c>
      <c r="E29" t="s">
        <v>319</v>
      </c>
      <c r="F29" t="s">
        <v>409</v>
      </c>
      <c r="G29" t="s">
        <v>475</v>
      </c>
      <c r="H29" t="s">
        <v>410</v>
      </c>
    </row>
    <row r="30" spans="1:8" x14ac:dyDescent="0.25">
      <c r="A30">
        <v>29</v>
      </c>
      <c r="B30" t="s">
        <v>411</v>
      </c>
      <c r="C30" t="s">
        <v>412</v>
      </c>
      <c r="D30" t="s">
        <v>318</v>
      </c>
      <c r="E30" t="s">
        <v>145</v>
      </c>
      <c r="F30" t="s">
        <v>413</v>
      </c>
      <c r="G30" t="s">
        <v>476</v>
      </c>
      <c r="H30" t="s">
        <v>358</v>
      </c>
    </row>
    <row r="31" spans="1:8" x14ac:dyDescent="0.25">
      <c r="A31">
        <v>30</v>
      </c>
      <c r="B31" t="s">
        <v>414</v>
      </c>
      <c r="C31" t="s">
        <v>415</v>
      </c>
      <c r="D31" t="s">
        <v>308</v>
      </c>
      <c r="E31" t="s">
        <v>313</v>
      </c>
      <c r="F31" t="s">
        <v>346</v>
      </c>
      <c r="G31" t="s">
        <v>477</v>
      </c>
      <c r="H31" t="s">
        <v>416</v>
      </c>
    </row>
    <row r="32" spans="1:8" x14ac:dyDescent="0.25">
      <c r="A32">
        <v>31</v>
      </c>
      <c r="B32" t="s">
        <v>417</v>
      </c>
      <c r="C32" t="s">
        <v>418</v>
      </c>
      <c r="D32" t="s">
        <v>308</v>
      </c>
      <c r="E32" t="s">
        <v>313</v>
      </c>
      <c r="F32" t="s">
        <v>384</v>
      </c>
      <c r="G32" t="s">
        <v>475</v>
      </c>
      <c r="H32" t="s">
        <v>419</v>
      </c>
    </row>
    <row r="33" spans="1:8" x14ac:dyDescent="0.25">
      <c r="A33">
        <v>32</v>
      </c>
      <c r="B33" t="s">
        <v>420</v>
      </c>
      <c r="C33" t="s">
        <v>421</v>
      </c>
      <c r="D33" t="s">
        <v>308</v>
      </c>
      <c r="E33" t="s">
        <v>313</v>
      </c>
      <c r="F33" t="s">
        <v>422</v>
      </c>
      <c r="G33" t="s">
        <v>476</v>
      </c>
      <c r="H33" t="s">
        <v>423</v>
      </c>
    </row>
    <row r="34" spans="1:8" x14ac:dyDescent="0.25">
      <c r="A34">
        <v>33</v>
      </c>
      <c r="B34" t="s">
        <v>424</v>
      </c>
      <c r="C34" t="s">
        <v>425</v>
      </c>
      <c r="D34" t="s">
        <v>308</v>
      </c>
      <c r="E34" t="s">
        <v>313</v>
      </c>
      <c r="F34" t="s">
        <v>361</v>
      </c>
      <c r="G34" t="s">
        <v>477</v>
      </c>
      <c r="H34" t="s">
        <v>426</v>
      </c>
    </row>
    <row r="35" spans="1:8" x14ac:dyDescent="0.25">
      <c r="A35">
        <v>34</v>
      </c>
      <c r="B35" t="s">
        <v>427</v>
      </c>
      <c r="C35" t="s">
        <v>428</v>
      </c>
      <c r="D35" t="s">
        <v>308</v>
      </c>
      <c r="E35" t="s">
        <v>319</v>
      </c>
      <c r="F35" t="s">
        <v>429</v>
      </c>
      <c r="G35" t="s">
        <v>476</v>
      </c>
      <c r="H35" t="s">
        <v>430</v>
      </c>
    </row>
    <row r="36" spans="1:8" x14ac:dyDescent="0.25">
      <c r="A36">
        <v>35</v>
      </c>
      <c r="B36" t="s">
        <v>431</v>
      </c>
      <c r="C36" t="s">
        <v>432</v>
      </c>
      <c r="D36" t="s">
        <v>318</v>
      </c>
      <c r="E36" t="s">
        <v>145</v>
      </c>
      <c r="F36" t="s">
        <v>320</v>
      </c>
      <c r="G36" t="s">
        <v>477</v>
      </c>
      <c r="H36" t="s">
        <v>433</v>
      </c>
    </row>
    <row r="37" spans="1:8" x14ac:dyDescent="0.25">
      <c r="A37">
        <v>36</v>
      </c>
      <c r="B37" t="s">
        <v>434</v>
      </c>
      <c r="C37" t="s">
        <v>435</v>
      </c>
      <c r="D37" t="s">
        <v>308</v>
      </c>
      <c r="E37" t="s">
        <v>145</v>
      </c>
      <c r="F37" t="s">
        <v>405</v>
      </c>
      <c r="G37" t="s">
        <v>475</v>
      </c>
      <c r="H37" t="s">
        <v>436</v>
      </c>
    </row>
    <row r="38" spans="1:8" x14ac:dyDescent="0.25">
      <c r="A38">
        <v>37</v>
      </c>
      <c r="B38" t="s">
        <v>437</v>
      </c>
      <c r="C38" t="s">
        <v>438</v>
      </c>
      <c r="D38" t="s">
        <v>308</v>
      </c>
      <c r="E38" t="s">
        <v>319</v>
      </c>
      <c r="F38" t="s">
        <v>338</v>
      </c>
      <c r="G38" t="s">
        <v>476</v>
      </c>
      <c r="H38" t="s">
        <v>439</v>
      </c>
    </row>
    <row r="39" spans="1:8" x14ac:dyDescent="0.25">
      <c r="A39">
        <v>38</v>
      </c>
      <c r="B39" t="s">
        <v>440</v>
      </c>
      <c r="C39" t="s">
        <v>441</v>
      </c>
      <c r="D39" t="s">
        <v>308</v>
      </c>
      <c r="E39" t="s">
        <v>145</v>
      </c>
      <c r="F39" t="s">
        <v>314</v>
      </c>
      <c r="G39" t="s">
        <v>477</v>
      </c>
      <c r="H39" t="s">
        <v>442</v>
      </c>
    </row>
    <row r="40" spans="1:8" x14ac:dyDescent="0.25">
      <c r="A40">
        <v>39</v>
      </c>
      <c r="B40" t="s">
        <v>443</v>
      </c>
      <c r="C40" t="s">
        <v>444</v>
      </c>
      <c r="D40" t="s">
        <v>308</v>
      </c>
      <c r="E40" t="s">
        <v>145</v>
      </c>
      <c r="F40" t="s">
        <v>320</v>
      </c>
      <c r="G40" t="s">
        <v>477</v>
      </c>
      <c r="H40" t="s">
        <v>445</v>
      </c>
    </row>
    <row r="41" spans="1:8" x14ac:dyDescent="0.25">
      <c r="A41">
        <v>40</v>
      </c>
      <c r="B41" t="s">
        <v>446</v>
      </c>
      <c r="C41" t="s">
        <v>447</v>
      </c>
      <c r="D41" t="s">
        <v>318</v>
      </c>
      <c r="E41" t="s">
        <v>145</v>
      </c>
      <c r="F41" t="s">
        <v>384</v>
      </c>
      <c r="G41" t="s">
        <v>475</v>
      </c>
      <c r="H41" t="s">
        <v>448</v>
      </c>
    </row>
    <row r="42" spans="1:8" x14ac:dyDescent="0.25">
      <c r="A42">
        <v>41</v>
      </c>
      <c r="B42" t="s">
        <v>449</v>
      </c>
      <c r="C42" t="s">
        <v>450</v>
      </c>
      <c r="D42" t="s">
        <v>318</v>
      </c>
      <c r="E42" t="s">
        <v>145</v>
      </c>
      <c r="F42" t="s">
        <v>361</v>
      </c>
      <c r="G42" t="s">
        <v>476</v>
      </c>
      <c r="H42" t="s">
        <v>451</v>
      </c>
    </row>
    <row r="43" spans="1:8" x14ac:dyDescent="0.25">
      <c r="A43">
        <v>42</v>
      </c>
      <c r="B43" t="s">
        <v>452</v>
      </c>
      <c r="C43" t="s">
        <v>453</v>
      </c>
      <c r="D43" t="s">
        <v>308</v>
      </c>
      <c r="E43" t="s">
        <v>145</v>
      </c>
      <c r="F43" t="s">
        <v>384</v>
      </c>
      <c r="G43" t="s">
        <v>477</v>
      </c>
      <c r="H43" t="s">
        <v>454</v>
      </c>
    </row>
    <row r="44" spans="1:8" x14ac:dyDescent="0.25">
      <c r="A44">
        <v>43</v>
      </c>
      <c r="B44" t="s">
        <v>455</v>
      </c>
      <c r="C44" t="s">
        <v>456</v>
      </c>
      <c r="D44" t="s">
        <v>318</v>
      </c>
      <c r="E44" t="s">
        <v>319</v>
      </c>
      <c r="F44" t="s">
        <v>330</v>
      </c>
      <c r="G44" t="s">
        <v>475</v>
      </c>
      <c r="H44" t="s">
        <v>365</v>
      </c>
    </row>
    <row r="45" spans="1:8" x14ac:dyDescent="0.25">
      <c r="A45">
        <v>44</v>
      </c>
      <c r="B45" t="s">
        <v>457</v>
      </c>
      <c r="C45" t="s">
        <v>458</v>
      </c>
      <c r="D45" t="s">
        <v>308</v>
      </c>
      <c r="E45" t="s">
        <v>145</v>
      </c>
      <c r="F45" t="s">
        <v>350</v>
      </c>
      <c r="G45" t="s">
        <v>476</v>
      </c>
      <c r="H45" t="s">
        <v>459</v>
      </c>
    </row>
    <row r="46" spans="1:8" x14ac:dyDescent="0.25">
      <c r="A46">
        <v>45</v>
      </c>
      <c r="B46" t="s">
        <v>460</v>
      </c>
      <c r="C46" t="s">
        <v>461</v>
      </c>
      <c r="D46" t="s">
        <v>318</v>
      </c>
      <c r="E46" t="s">
        <v>145</v>
      </c>
      <c r="F46" t="s">
        <v>361</v>
      </c>
      <c r="G46" t="s">
        <v>477</v>
      </c>
      <c r="H46" t="s">
        <v>462</v>
      </c>
    </row>
    <row r="47" spans="1:8" x14ac:dyDescent="0.25">
      <c r="A47">
        <v>46</v>
      </c>
      <c r="B47" t="s">
        <v>463</v>
      </c>
      <c r="C47" t="s">
        <v>464</v>
      </c>
      <c r="D47" t="s">
        <v>308</v>
      </c>
      <c r="E47" t="s">
        <v>145</v>
      </c>
      <c r="F47" t="s">
        <v>422</v>
      </c>
      <c r="G47" t="s">
        <v>475</v>
      </c>
      <c r="H47" t="s">
        <v>465</v>
      </c>
    </row>
    <row r="48" spans="1:8" x14ac:dyDescent="0.25">
      <c r="A48">
        <v>47</v>
      </c>
      <c r="B48" t="s">
        <v>466</v>
      </c>
      <c r="C48" t="s">
        <v>467</v>
      </c>
      <c r="D48" t="s">
        <v>308</v>
      </c>
      <c r="E48" t="s">
        <v>145</v>
      </c>
      <c r="F48" t="s">
        <v>346</v>
      </c>
      <c r="G48" t="s">
        <v>476</v>
      </c>
      <c r="H48" t="s">
        <v>468</v>
      </c>
    </row>
    <row r="49" spans="1:8" x14ac:dyDescent="0.25">
      <c r="A49">
        <v>48</v>
      </c>
      <c r="B49" t="s">
        <v>469</v>
      </c>
      <c r="C49" t="s">
        <v>470</v>
      </c>
      <c r="D49" t="s">
        <v>308</v>
      </c>
      <c r="E49" t="s">
        <v>145</v>
      </c>
      <c r="F49" t="s">
        <v>309</v>
      </c>
      <c r="G49" t="s">
        <v>477</v>
      </c>
      <c r="H49" t="s">
        <v>451</v>
      </c>
    </row>
    <row r="50" spans="1:8" x14ac:dyDescent="0.25">
      <c r="A50">
        <v>49</v>
      </c>
      <c r="B50" t="s">
        <v>471</v>
      </c>
      <c r="C50" t="s">
        <v>472</v>
      </c>
      <c r="D50" t="s">
        <v>318</v>
      </c>
      <c r="E50" t="s">
        <v>145</v>
      </c>
      <c r="F50" t="s">
        <v>350</v>
      </c>
      <c r="G50" t="s">
        <v>475</v>
      </c>
      <c r="H50" t="s">
        <v>451</v>
      </c>
    </row>
    <row r="51" spans="1:8" x14ac:dyDescent="0.25">
      <c r="A51">
        <v>50</v>
      </c>
      <c r="B51" t="s">
        <v>473</v>
      </c>
      <c r="C51" t="s">
        <v>474</v>
      </c>
      <c r="D51" t="s">
        <v>308</v>
      </c>
      <c r="E51" t="s">
        <v>145</v>
      </c>
      <c r="F51" t="s">
        <v>405</v>
      </c>
      <c r="G51" t="s">
        <v>476</v>
      </c>
      <c r="H51" t="s">
        <v>406</v>
      </c>
    </row>
    <row r="52" spans="1:8" x14ac:dyDescent="0.25">
      <c r="A52">
        <v>51</v>
      </c>
      <c r="B52" t="s">
        <v>285</v>
      </c>
      <c r="C52" t="s">
        <v>307</v>
      </c>
      <c r="D52" t="s">
        <v>308</v>
      </c>
      <c r="E52" t="s">
        <v>145</v>
      </c>
      <c r="F52" t="s">
        <v>309</v>
      </c>
      <c r="G52" t="s">
        <v>475</v>
      </c>
      <c r="H52" t="s">
        <v>311</v>
      </c>
    </row>
    <row r="53" spans="1:8" x14ac:dyDescent="0.25">
      <c r="A53">
        <v>52</v>
      </c>
      <c r="B53" t="s">
        <v>287</v>
      </c>
      <c r="C53" t="s">
        <v>312</v>
      </c>
      <c r="D53" t="s">
        <v>308</v>
      </c>
      <c r="E53" t="s">
        <v>313</v>
      </c>
      <c r="F53" t="s">
        <v>314</v>
      </c>
      <c r="G53" t="s">
        <v>476</v>
      </c>
      <c r="H53" t="s">
        <v>316</v>
      </c>
    </row>
    <row r="54" spans="1:8" x14ac:dyDescent="0.25">
      <c r="A54">
        <v>53</v>
      </c>
      <c r="B54" t="s">
        <v>289</v>
      </c>
      <c r="C54" t="s">
        <v>317</v>
      </c>
      <c r="D54" t="s">
        <v>318</v>
      </c>
      <c r="E54" t="s">
        <v>319</v>
      </c>
      <c r="F54" t="s">
        <v>320</v>
      </c>
      <c r="G54" t="s">
        <v>477</v>
      </c>
      <c r="H54" t="s">
        <v>322</v>
      </c>
    </row>
    <row r="55" spans="1:8" x14ac:dyDescent="0.25">
      <c r="A55">
        <v>54</v>
      </c>
      <c r="B55" t="s">
        <v>291</v>
      </c>
      <c r="C55" t="s">
        <v>323</v>
      </c>
      <c r="D55" t="s">
        <v>308</v>
      </c>
      <c r="E55" t="s">
        <v>145</v>
      </c>
      <c r="F55" t="s">
        <v>314</v>
      </c>
      <c r="G55" t="s">
        <v>475</v>
      </c>
      <c r="H55" t="s">
        <v>324</v>
      </c>
    </row>
    <row r="56" spans="1:8" x14ac:dyDescent="0.25">
      <c r="A56">
        <v>55</v>
      </c>
      <c r="B56" t="s">
        <v>297</v>
      </c>
      <c r="C56" t="s">
        <v>325</v>
      </c>
      <c r="D56" t="s">
        <v>308</v>
      </c>
      <c r="E56" t="s">
        <v>145</v>
      </c>
      <c r="F56" t="s">
        <v>326</v>
      </c>
      <c r="G56" t="s">
        <v>476</v>
      </c>
      <c r="H56" t="s">
        <v>327</v>
      </c>
    </row>
    <row r="57" spans="1:8" x14ac:dyDescent="0.25">
      <c r="A57">
        <v>56</v>
      </c>
      <c r="B57" t="s">
        <v>328</v>
      </c>
      <c r="C57" t="s">
        <v>329</v>
      </c>
      <c r="D57" t="s">
        <v>318</v>
      </c>
      <c r="E57" t="s">
        <v>145</v>
      </c>
      <c r="F57" t="s">
        <v>330</v>
      </c>
      <c r="G57" t="s">
        <v>477</v>
      </c>
      <c r="H57" t="s">
        <v>331</v>
      </c>
    </row>
    <row r="58" spans="1:8" x14ac:dyDescent="0.25">
      <c r="A58">
        <v>57</v>
      </c>
      <c r="B58" t="s">
        <v>332</v>
      </c>
      <c r="C58" t="s">
        <v>333</v>
      </c>
      <c r="D58" t="s">
        <v>308</v>
      </c>
      <c r="E58" t="s">
        <v>313</v>
      </c>
      <c r="F58" t="s">
        <v>334</v>
      </c>
      <c r="G58" t="s">
        <v>475</v>
      </c>
      <c r="H58" t="s">
        <v>335</v>
      </c>
    </row>
    <row r="59" spans="1:8" x14ac:dyDescent="0.25">
      <c r="A59">
        <v>58</v>
      </c>
      <c r="B59" t="s">
        <v>336</v>
      </c>
      <c r="C59" t="s">
        <v>337</v>
      </c>
      <c r="D59" t="s">
        <v>308</v>
      </c>
      <c r="E59" t="s">
        <v>145</v>
      </c>
      <c r="F59" t="s">
        <v>338</v>
      </c>
      <c r="G59" t="s">
        <v>476</v>
      </c>
      <c r="H59" t="s">
        <v>339</v>
      </c>
    </row>
    <row r="60" spans="1:8" x14ac:dyDescent="0.25">
      <c r="A60">
        <v>59</v>
      </c>
      <c r="B60" t="s">
        <v>340</v>
      </c>
      <c r="C60" t="s">
        <v>341</v>
      </c>
      <c r="D60" t="s">
        <v>308</v>
      </c>
      <c r="E60" t="s">
        <v>145</v>
      </c>
      <c r="F60" t="s">
        <v>342</v>
      </c>
      <c r="G60" t="s">
        <v>477</v>
      </c>
      <c r="H60" t="s">
        <v>343</v>
      </c>
    </row>
    <row r="61" spans="1:8" x14ac:dyDescent="0.25">
      <c r="A61">
        <v>60</v>
      </c>
      <c r="B61" t="s">
        <v>344</v>
      </c>
      <c r="C61" t="s">
        <v>345</v>
      </c>
      <c r="D61" t="s">
        <v>308</v>
      </c>
      <c r="E61" t="s">
        <v>313</v>
      </c>
      <c r="F61" t="s">
        <v>346</v>
      </c>
      <c r="G61" t="s">
        <v>476</v>
      </c>
      <c r="H61" t="s">
        <v>347</v>
      </c>
    </row>
    <row r="62" spans="1:8" x14ac:dyDescent="0.25">
      <c r="A62">
        <v>61</v>
      </c>
      <c r="B62" t="s">
        <v>348</v>
      </c>
      <c r="C62" t="s">
        <v>349</v>
      </c>
      <c r="D62" t="s">
        <v>308</v>
      </c>
      <c r="E62" t="s">
        <v>313</v>
      </c>
      <c r="F62" t="s">
        <v>350</v>
      </c>
      <c r="G62" t="s">
        <v>477</v>
      </c>
      <c r="H62" t="s">
        <v>351</v>
      </c>
    </row>
    <row r="63" spans="1:8" x14ac:dyDescent="0.25">
      <c r="A63">
        <v>62</v>
      </c>
      <c r="B63" t="s">
        <v>352</v>
      </c>
      <c r="C63" t="s">
        <v>353</v>
      </c>
      <c r="D63" t="s">
        <v>318</v>
      </c>
      <c r="E63" t="s">
        <v>319</v>
      </c>
      <c r="F63" t="s">
        <v>354</v>
      </c>
      <c r="G63" t="s">
        <v>475</v>
      </c>
      <c r="H63" t="s">
        <v>355</v>
      </c>
    </row>
    <row r="64" spans="1:8" x14ac:dyDescent="0.25">
      <c r="A64">
        <v>63</v>
      </c>
      <c r="B64" t="s">
        <v>356</v>
      </c>
      <c r="C64" t="s">
        <v>357</v>
      </c>
      <c r="D64" t="s">
        <v>308</v>
      </c>
      <c r="E64" t="s">
        <v>313</v>
      </c>
      <c r="F64" t="s">
        <v>309</v>
      </c>
      <c r="G64" t="s">
        <v>476</v>
      </c>
      <c r="H64" t="s">
        <v>358</v>
      </c>
    </row>
    <row r="65" spans="1:8" x14ac:dyDescent="0.25">
      <c r="A65">
        <v>64</v>
      </c>
      <c r="B65" t="s">
        <v>359</v>
      </c>
      <c r="C65" t="s">
        <v>360</v>
      </c>
      <c r="D65" t="s">
        <v>318</v>
      </c>
      <c r="E65" t="s">
        <v>313</v>
      </c>
      <c r="F65" t="s">
        <v>361</v>
      </c>
      <c r="G65" t="s">
        <v>477</v>
      </c>
      <c r="H65" t="s">
        <v>322</v>
      </c>
    </row>
    <row r="66" spans="1:8" x14ac:dyDescent="0.25">
      <c r="A66">
        <v>65</v>
      </c>
      <c r="B66" t="s">
        <v>362</v>
      </c>
      <c r="C66" t="s">
        <v>363</v>
      </c>
      <c r="D66" t="s">
        <v>308</v>
      </c>
      <c r="E66" t="s">
        <v>313</v>
      </c>
      <c r="F66" t="s">
        <v>364</v>
      </c>
      <c r="G66" t="s">
        <v>476</v>
      </c>
      <c r="H66" t="s">
        <v>365</v>
      </c>
    </row>
    <row r="67" spans="1:8" x14ac:dyDescent="0.25">
      <c r="A67">
        <v>66</v>
      </c>
      <c r="B67" t="s">
        <v>366</v>
      </c>
      <c r="C67" t="s">
        <v>367</v>
      </c>
      <c r="D67" t="s">
        <v>308</v>
      </c>
      <c r="E67" t="s">
        <v>319</v>
      </c>
      <c r="F67" t="s">
        <v>330</v>
      </c>
      <c r="G67" t="s">
        <v>477</v>
      </c>
      <c r="H67" t="s">
        <v>368</v>
      </c>
    </row>
    <row r="68" spans="1:8" x14ac:dyDescent="0.25">
      <c r="A68">
        <v>67</v>
      </c>
      <c r="B68" t="s">
        <v>369</v>
      </c>
      <c r="C68" t="s">
        <v>370</v>
      </c>
      <c r="D68" t="s">
        <v>308</v>
      </c>
      <c r="E68" t="s">
        <v>319</v>
      </c>
      <c r="F68" t="s">
        <v>350</v>
      </c>
      <c r="G68" t="s">
        <v>475</v>
      </c>
      <c r="H68" t="s">
        <v>371</v>
      </c>
    </row>
    <row r="69" spans="1:8" x14ac:dyDescent="0.25">
      <c r="A69">
        <v>68</v>
      </c>
      <c r="B69" t="s">
        <v>372</v>
      </c>
      <c r="C69" t="s">
        <v>373</v>
      </c>
      <c r="D69" t="s">
        <v>308</v>
      </c>
      <c r="E69" t="s">
        <v>313</v>
      </c>
      <c r="F69" t="s">
        <v>346</v>
      </c>
      <c r="G69" t="s">
        <v>476</v>
      </c>
      <c r="H69" t="s">
        <v>374</v>
      </c>
    </row>
    <row r="70" spans="1:8" x14ac:dyDescent="0.25">
      <c r="A70">
        <v>69</v>
      </c>
      <c r="B70" t="s">
        <v>375</v>
      </c>
      <c r="C70" t="s">
        <v>376</v>
      </c>
      <c r="D70" t="s">
        <v>308</v>
      </c>
      <c r="E70" t="s">
        <v>319</v>
      </c>
      <c r="F70" t="s">
        <v>361</v>
      </c>
      <c r="G70" t="s">
        <v>477</v>
      </c>
      <c r="H70" t="s">
        <v>377</v>
      </c>
    </row>
    <row r="71" spans="1:8" x14ac:dyDescent="0.25">
      <c r="A71">
        <v>70</v>
      </c>
      <c r="B71" t="s">
        <v>378</v>
      </c>
      <c r="C71" t="s">
        <v>379</v>
      </c>
      <c r="D71" t="s">
        <v>308</v>
      </c>
      <c r="E71" t="s">
        <v>319</v>
      </c>
      <c r="F71" t="s">
        <v>380</v>
      </c>
      <c r="G71" t="s">
        <v>477</v>
      </c>
      <c r="H71" t="s">
        <v>381</v>
      </c>
    </row>
    <row r="72" spans="1:8" x14ac:dyDescent="0.25">
      <c r="A72">
        <v>71</v>
      </c>
      <c r="B72" t="s">
        <v>382</v>
      </c>
      <c r="C72" t="s">
        <v>383</v>
      </c>
      <c r="D72" t="s">
        <v>308</v>
      </c>
      <c r="E72" t="s">
        <v>145</v>
      </c>
      <c r="F72" t="s">
        <v>384</v>
      </c>
      <c r="G72" t="s">
        <v>475</v>
      </c>
      <c r="H72" t="s">
        <v>385</v>
      </c>
    </row>
    <row r="73" spans="1:8" x14ac:dyDescent="0.25">
      <c r="A73">
        <v>72</v>
      </c>
      <c r="B73" t="s">
        <v>386</v>
      </c>
      <c r="C73" t="s">
        <v>387</v>
      </c>
      <c r="D73" t="s">
        <v>308</v>
      </c>
      <c r="E73" t="s">
        <v>145</v>
      </c>
      <c r="F73" t="s">
        <v>388</v>
      </c>
      <c r="G73" t="s">
        <v>476</v>
      </c>
      <c r="H73" t="s">
        <v>389</v>
      </c>
    </row>
    <row r="74" spans="1:8" x14ac:dyDescent="0.25">
      <c r="A74">
        <v>73</v>
      </c>
      <c r="B74" t="s">
        <v>390</v>
      </c>
      <c r="C74" t="s">
        <v>391</v>
      </c>
      <c r="D74" t="s">
        <v>308</v>
      </c>
      <c r="E74" t="s">
        <v>313</v>
      </c>
      <c r="F74" t="s">
        <v>380</v>
      </c>
      <c r="G74" t="s">
        <v>477</v>
      </c>
      <c r="H74" t="s">
        <v>392</v>
      </c>
    </row>
    <row r="75" spans="1:8" x14ac:dyDescent="0.25">
      <c r="A75">
        <v>74</v>
      </c>
      <c r="B75" t="s">
        <v>393</v>
      </c>
      <c r="C75" t="s">
        <v>394</v>
      </c>
      <c r="D75" t="s">
        <v>308</v>
      </c>
      <c r="E75" t="s">
        <v>319</v>
      </c>
      <c r="F75" t="s">
        <v>395</v>
      </c>
      <c r="G75" t="s">
        <v>477</v>
      </c>
      <c r="H75" t="s">
        <v>392</v>
      </c>
    </row>
    <row r="76" spans="1:8" x14ac:dyDescent="0.25">
      <c r="A76">
        <v>75</v>
      </c>
      <c r="B76" t="s">
        <v>396</v>
      </c>
      <c r="C76" t="s">
        <v>397</v>
      </c>
      <c r="D76" t="s">
        <v>318</v>
      </c>
      <c r="E76" t="s">
        <v>319</v>
      </c>
      <c r="F76" t="s">
        <v>398</v>
      </c>
      <c r="G76" t="s">
        <v>475</v>
      </c>
      <c r="H76" t="s">
        <v>399</v>
      </c>
    </row>
    <row r="77" spans="1:8" x14ac:dyDescent="0.25">
      <c r="A77">
        <v>76</v>
      </c>
      <c r="B77" t="s">
        <v>400</v>
      </c>
      <c r="C77" t="s">
        <v>401</v>
      </c>
      <c r="D77" t="s">
        <v>308</v>
      </c>
      <c r="E77" t="s">
        <v>313</v>
      </c>
      <c r="F77" t="s">
        <v>346</v>
      </c>
      <c r="G77" t="s">
        <v>476</v>
      </c>
      <c r="H77" t="s">
        <v>402</v>
      </c>
    </row>
    <row r="78" spans="1:8" x14ac:dyDescent="0.25">
      <c r="A78">
        <v>77</v>
      </c>
      <c r="B78" t="s">
        <v>403</v>
      </c>
      <c r="C78" t="s">
        <v>404</v>
      </c>
      <c r="D78" t="s">
        <v>308</v>
      </c>
      <c r="E78" t="s">
        <v>145</v>
      </c>
      <c r="F78" t="s">
        <v>405</v>
      </c>
      <c r="G78" t="s">
        <v>477</v>
      </c>
      <c r="H78" t="s">
        <v>406</v>
      </c>
    </row>
    <row r="79" spans="1:8" x14ac:dyDescent="0.25">
      <c r="A79">
        <v>78</v>
      </c>
      <c r="B79" t="s">
        <v>407</v>
      </c>
      <c r="C79" t="s">
        <v>408</v>
      </c>
      <c r="D79" t="s">
        <v>308</v>
      </c>
      <c r="E79" t="s">
        <v>319</v>
      </c>
      <c r="F79" t="s">
        <v>409</v>
      </c>
      <c r="G79" t="s">
        <v>475</v>
      </c>
      <c r="H79" t="s">
        <v>410</v>
      </c>
    </row>
    <row r="80" spans="1:8" x14ac:dyDescent="0.25">
      <c r="A80">
        <v>79</v>
      </c>
      <c r="B80" t="s">
        <v>411</v>
      </c>
      <c r="C80" t="s">
        <v>412</v>
      </c>
      <c r="D80" t="s">
        <v>318</v>
      </c>
      <c r="E80" t="s">
        <v>145</v>
      </c>
      <c r="F80" t="s">
        <v>413</v>
      </c>
      <c r="G80" t="s">
        <v>476</v>
      </c>
      <c r="H80" t="s">
        <v>358</v>
      </c>
    </row>
    <row r="81" spans="1:8" x14ac:dyDescent="0.25">
      <c r="A81">
        <v>80</v>
      </c>
      <c r="B81" t="s">
        <v>414</v>
      </c>
      <c r="C81" t="s">
        <v>415</v>
      </c>
      <c r="D81" t="s">
        <v>308</v>
      </c>
      <c r="E81" t="s">
        <v>313</v>
      </c>
      <c r="F81" t="s">
        <v>346</v>
      </c>
      <c r="G81" t="s">
        <v>477</v>
      </c>
      <c r="H81" t="s">
        <v>416</v>
      </c>
    </row>
    <row r="82" spans="1:8" x14ac:dyDescent="0.25">
      <c r="A82">
        <v>81</v>
      </c>
      <c r="B82" t="s">
        <v>417</v>
      </c>
      <c r="C82" t="s">
        <v>418</v>
      </c>
      <c r="D82" t="s">
        <v>308</v>
      </c>
      <c r="E82" t="s">
        <v>313</v>
      </c>
      <c r="F82" t="s">
        <v>384</v>
      </c>
      <c r="G82" t="s">
        <v>475</v>
      </c>
      <c r="H82" t="s">
        <v>419</v>
      </c>
    </row>
    <row r="83" spans="1:8" x14ac:dyDescent="0.25">
      <c r="A83">
        <v>82</v>
      </c>
      <c r="B83" t="s">
        <v>420</v>
      </c>
      <c r="C83" t="s">
        <v>421</v>
      </c>
      <c r="D83" t="s">
        <v>308</v>
      </c>
      <c r="E83" t="s">
        <v>313</v>
      </c>
      <c r="F83" t="s">
        <v>422</v>
      </c>
      <c r="G83" t="s">
        <v>476</v>
      </c>
      <c r="H83" t="s">
        <v>423</v>
      </c>
    </row>
    <row r="84" spans="1:8" x14ac:dyDescent="0.25">
      <c r="A84">
        <v>83</v>
      </c>
      <c r="B84" t="s">
        <v>424</v>
      </c>
      <c r="C84" t="s">
        <v>425</v>
      </c>
      <c r="D84" t="s">
        <v>308</v>
      </c>
      <c r="E84" t="s">
        <v>313</v>
      </c>
      <c r="F84" t="s">
        <v>361</v>
      </c>
      <c r="G84" t="s">
        <v>477</v>
      </c>
      <c r="H84" t="s">
        <v>426</v>
      </c>
    </row>
    <row r="85" spans="1:8" x14ac:dyDescent="0.25">
      <c r="A85">
        <v>84</v>
      </c>
      <c r="B85" t="s">
        <v>427</v>
      </c>
      <c r="C85" t="s">
        <v>428</v>
      </c>
      <c r="D85" t="s">
        <v>308</v>
      </c>
      <c r="E85" t="s">
        <v>319</v>
      </c>
      <c r="F85" t="s">
        <v>429</v>
      </c>
      <c r="G85" t="s">
        <v>476</v>
      </c>
      <c r="H85" t="s">
        <v>430</v>
      </c>
    </row>
    <row r="86" spans="1:8" x14ac:dyDescent="0.25">
      <c r="A86">
        <v>85</v>
      </c>
      <c r="B86" t="s">
        <v>431</v>
      </c>
      <c r="C86" t="s">
        <v>432</v>
      </c>
      <c r="D86" t="s">
        <v>318</v>
      </c>
      <c r="E86" t="s">
        <v>145</v>
      </c>
      <c r="F86" t="s">
        <v>320</v>
      </c>
      <c r="G86" t="s">
        <v>477</v>
      </c>
      <c r="H86" t="s">
        <v>433</v>
      </c>
    </row>
    <row r="87" spans="1:8" x14ac:dyDescent="0.25">
      <c r="A87">
        <v>86</v>
      </c>
      <c r="B87" t="s">
        <v>434</v>
      </c>
      <c r="C87" t="s">
        <v>435</v>
      </c>
      <c r="D87" t="s">
        <v>308</v>
      </c>
      <c r="E87" t="s">
        <v>145</v>
      </c>
      <c r="F87" t="s">
        <v>405</v>
      </c>
      <c r="G87" t="s">
        <v>475</v>
      </c>
      <c r="H87" t="s">
        <v>436</v>
      </c>
    </row>
    <row r="88" spans="1:8" x14ac:dyDescent="0.25">
      <c r="A88">
        <v>87</v>
      </c>
      <c r="B88" t="s">
        <v>437</v>
      </c>
      <c r="C88" t="s">
        <v>438</v>
      </c>
      <c r="D88" t="s">
        <v>308</v>
      </c>
      <c r="E88" t="s">
        <v>319</v>
      </c>
      <c r="F88" t="s">
        <v>338</v>
      </c>
      <c r="G88" t="s">
        <v>476</v>
      </c>
      <c r="H88" t="s">
        <v>439</v>
      </c>
    </row>
    <row r="89" spans="1:8" x14ac:dyDescent="0.25">
      <c r="A89">
        <v>88</v>
      </c>
      <c r="B89" t="s">
        <v>440</v>
      </c>
      <c r="C89" t="s">
        <v>441</v>
      </c>
      <c r="D89" t="s">
        <v>308</v>
      </c>
      <c r="E89" t="s">
        <v>145</v>
      </c>
      <c r="F89" t="s">
        <v>314</v>
      </c>
      <c r="G89" t="s">
        <v>477</v>
      </c>
      <c r="H89" t="s">
        <v>442</v>
      </c>
    </row>
    <row r="90" spans="1:8" x14ac:dyDescent="0.25">
      <c r="A90">
        <v>89</v>
      </c>
      <c r="B90" t="s">
        <v>443</v>
      </c>
      <c r="C90" t="s">
        <v>444</v>
      </c>
      <c r="D90" t="s">
        <v>308</v>
      </c>
      <c r="E90" t="s">
        <v>145</v>
      </c>
      <c r="F90" t="s">
        <v>320</v>
      </c>
      <c r="G90" t="s">
        <v>477</v>
      </c>
      <c r="H90" t="s">
        <v>445</v>
      </c>
    </row>
    <row r="91" spans="1:8" x14ac:dyDescent="0.25">
      <c r="A91">
        <v>90</v>
      </c>
      <c r="B91" t="s">
        <v>446</v>
      </c>
      <c r="C91" t="s">
        <v>447</v>
      </c>
      <c r="D91" t="s">
        <v>318</v>
      </c>
      <c r="E91" t="s">
        <v>145</v>
      </c>
      <c r="F91" t="s">
        <v>384</v>
      </c>
      <c r="G91" t="s">
        <v>475</v>
      </c>
      <c r="H91" t="s">
        <v>448</v>
      </c>
    </row>
    <row r="92" spans="1:8" x14ac:dyDescent="0.25">
      <c r="A92">
        <v>91</v>
      </c>
      <c r="B92" t="s">
        <v>449</v>
      </c>
      <c r="C92" t="s">
        <v>450</v>
      </c>
      <c r="D92" t="s">
        <v>318</v>
      </c>
      <c r="E92" t="s">
        <v>145</v>
      </c>
      <c r="F92" t="s">
        <v>361</v>
      </c>
      <c r="G92" t="s">
        <v>476</v>
      </c>
      <c r="H92" t="s">
        <v>451</v>
      </c>
    </row>
    <row r="93" spans="1:8" x14ac:dyDescent="0.25">
      <c r="A93">
        <v>92</v>
      </c>
      <c r="B93" t="s">
        <v>452</v>
      </c>
      <c r="C93" t="s">
        <v>453</v>
      </c>
      <c r="D93" t="s">
        <v>308</v>
      </c>
      <c r="E93" t="s">
        <v>145</v>
      </c>
      <c r="F93" t="s">
        <v>384</v>
      </c>
      <c r="G93" t="s">
        <v>477</v>
      </c>
      <c r="H93" t="s">
        <v>454</v>
      </c>
    </row>
    <row r="94" spans="1:8" x14ac:dyDescent="0.25">
      <c r="A94">
        <v>93</v>
      </c>
      <c r="B94" t="s">
        <v>455</v>
      </c>
      <c r="C94" t="s">
        <v>456</v>
      </c>
      <c r="D94" t="s">
        <v>318</v>
      </c>
      <c r="E94" t="s">
        <v>319</v>
      </c>
      <c r="F94" t="s">
        <v>330</v>
      </c>
      <c r="G94" t="s">
        <v>475</v>
      </c>
      <c r="H94" t="s">
        <v>365</v>
      </c>
    </row>
    <row r="95" spans="1:8" x14ac:dyDescent="0.25">
      <c r="A95">
        <v>94</v>
      </c>
      <c r="B95" t="s">
        <v>457</v>
      </c>
      <c r="C95" t="s">
        <v>458</v>
      </c>
      <c r="D95" t="s">
        <v>308</v>
      </c>
      <c r="E95" t="s">
        <v>145</v>
      </c>
      <c r="F95" t="s">
        <v>350</v>
      </c>
      <c r="G95" t="s">
        <v>476</v>
      </c>
      <c r="H95" t="s">
        <v>459</v>
      </c>
    </row>
    <row r="96" spans="1:8" x14ac:dyDescent="0.25">
      <c r="A96">
        <v>95</v>
      </c>
      <c r="B96" t="s">
        <v>460</v>
      </c>
      <c r="C96" t="s">
        <v>461</v>
      </c>
      <c r="D96" t="s">
        <v>318</v>
      </c>
      <c r="E96" t="s">
        <v>145</v>
      </c>
      <c r="F96" t="s">
        <v>361</v>
      </c>
      <c r="G96" t="s">
        <v>477</v>
      </c>
      <c r="H96" t="s">
        <v>462</v>
      </c>
    </row>
    <row r="97" spans="1:8" x14ac:dyDescent="0.25">
      <c r="A97">
        <v>96</v>
      </c>
      <c r="B97" t="s">
        <v>463</v>
      </c>
      <c r="C97" t="s">
        <v>464</v>
      </c>
      <c r="D97" t="s">
        <v>308</v>
      </c>
      <c r="E97" t="s">
        <v>145</v>
      </c>
      <c r="F97" t="s">
        <v>422</v>
      </c>
      <c r="G97" t="s">
        <v>475</v>
      </c>
      <c r="H97" t="s">
        <v>465</v>
      </c>
    </row>
    <row r="98" spans="1:8" x14ac:dyDescent="0.25">
      <c r="A98">
        <v>97</v>
      </c>
      <c r="B98" t="s">
        <v>466</v>
      </c>
      <c r="C98" t="s">
        <v>467</v>
      </c>
      <c r="D98" t="s">
        <v>308</v>
      </c>
      <c r="E98" t="s">
        <v>145</v>
      </c>
      <c r="F98" t="s">
        <v>346</v>
      </c>
      <c r="G98" t="s">
        <v>476</v>
      </c>
      <c r="H98" t="s">
        <v>468</v>
      </c>
    </row>
    <row r="99" spans="1:8" x14ac:dyDescent="0.25">
      <c r="A99">
        <v>98</v>
      </c>
      <c r="B99" t="s">
        <v>469</v>
      </c>
      <c r="C99" t="s">
        <v>470</v>
      </c>
      <c r="D99" t="s">
        <v>308</v>
      </c>
      <c r="E99" t="s">
        <v>145</v>
      </c>
      <c r="F99" t="s">
        <v>309</v>
      </c>
      <c r="G99" t="s">
        <v>477</v>
      </c>
      <c r="H99" t="s">
        <v>451</v>
      </c>
    </row>
    <row r="100" spans="1:8" x14ac:dyDescent="0.25">
      <c r="A100">
        <v>99</v>
      </c>
      <c r="B100" t="s">
        <v>471</v>
      </c>
      <c r="C100" t="s">
        <v>472</v>
      </c>
      <c r="D100" t="s">
        <v>318</v>
      </c>
      <c r="E100" t="s">
        <v>145</v>
      </c>
      <c r="F100" t="s">
        <v>350</v>
      </c>
      <c r="G100" t="s">
        <v>475</v>
      </c>
      <c r="H100" t="s">
        <v>451</v>
      </c>
    </row>
    <row r="101" spans="1:8" x14ac:dyDescent="0.25">
      <c r="A101">
        <v>100</v>
      </c>
      <c r="B101" t="s">
        <v>473</v>
      </c>
      <c r="C101" t="s">
        <v>474</v>
      </c>
      <c r="D101" t="s">
        <v>308</v>
      </c>
      <c r="E101" t="s">
        <v>145</v>
      </c>
      <c r="F101" t="s">
        <v>405</v>
      </c>
      <c r="G101" t="s">
        <v>476</v>
      </c>
      <c r="H101" t="s">
        <v>406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D624-166C-4702-8432-A0FBEBFFA101}">
  <dimension ref="A1:H19"/>
  <sheetViews>
    <sheetView workbookViewId="0">
      <selection activeCell="L15" sqref="L15"/>
    </sheetView>
  </sheetViews>
  <sheetFormatPr defaultRowHeight="15" x14ac:dyDescent="0.25"/>
  <cols>
    <col min="1" max="1" width="20" customWidth="1"/>
    <col min="2" max="2" width="16" bestFit="1" customWidth="1"/>
    <col min="4" max="4" width="14.28515625" customWidth="1"/>
    <col min="6" max="6" width="22.7109375" bestFit="1" customWidth="1"/>
    <col min="8" max="8" width="11.140625" bestFit="1" customWidth="1"/>
  </cols>
  <sheetData>
    <row r="1" spans="1:8" x14ac:dyDescent="0.25">
      <c r="A1" s="1" t="s">
        <v>478</v>
      </c>
    </row>
    <row r="3" spans="1:8" x14ac:dyDescent="0.25">
      <c r="A3" s="18" t="s">
        <v>479</v>
      </c>
      <c r="D3" s="1" t="s">
        <v>480</v>
      </c>
    </row>
    <row r="4" spans="1:8" ht="15.75" thickBot="1" x14ac:dyDescent="0.3">
      <c r="A4" s="18" t="s">
        <v>481</v>
      </c>
    </row>
    <row r="5" spans="1:8" ht="20.25" thickBot="1" x14ac:dyDescent="0.3">
      <c r="A5" t="s">
        <v>482</v>
      </c>
      <c r="B5" s="24" t="s">
        <v>483</v>
      </c>
      <c r="D5" s="25" t="s">
        <v>483</v>
      </c>
      <c r="E5" s="26"/>
      <c r="F5" s="26"/>
      <c r="G5" s="26"/>
      <c r="H5" s="26"/>
    </row>
    <row r="6" spans="1:8" x14ac:dyDescent="0.25">
      <c r="A6" s="27" t="s">
        <v>484</v>
      </c>
    </row>
    <row r="7" spans="1:8" ht="45" x14ac:dyDescent="0.25">
      <c r="A7" s="27" t="s">
        <v>485</v>
      </c>
      <c r="D7" s="28" t="s">
        <v>486</v>
      </c>
    </row>
    <row r="8" spans="1:8" x14ac:dyDescent="0.25">
      <c r="A8" s="27" t="s">
        <v>487</v>
      </c>
    </row>
    <row r="9" spans="1:8" x14ac:dyDescent="0.25">
      <c r="A9" s="27" t="s">
        <v>488</v>
      </c>
      <c r="D9" s="22" t="s">
        <v>215</v>
      </c>
      <c r="F9" s="22" t="s">
        <v>125</v>
      </c>
    </row>
    <row r="10" spans="1:8" x14ac:dyDescent="0.25">
      <c r="A10" s="27" t="s">
        <v>489</v>
      </c>
      <c r="D10" s="29">
        <v>25</v>
      </c>
      <c r="F10" s="30">
        <v>44909</v>
      </c>
      <c r="H10" s="21" t="s">
        <v>490</v>
      </c>
    </row>
    <row r="11" spans="1:8" x14ac:dyDescent="0.25">
      <c r="A11" s="27" t="s">
        <v>491</v>
      </c>
      <c r="D11" s="31">
        <v>34</v>
      </c>
      <c r="F11" s="32">
        <v>44876</v>
      </c>
    </row>
    <row r="12" spans="1:8" x14ac:dyDescent="0.25">
      <c r="A12" s="27" t="s">
        <v>492</v>
      </c>
      <c r="D12" s="1">
        <v>56</v>
      </c>
      <c r="F12" s="9">
        <v>43526</v>
      </c>
    </row>
    <row r="13" spans="1:8" x14ac:dyDescent="0.25">
      <c r="A13" s="27" t="s">
        <v>493</v>
      </c>
      <c r="D13" s="11"/>
      <c r="F13" s="11">
        <v>44424</v>
      </c>
    </row>
    <row r="14" spans="1:8" x14ac:dyDescent="0.25">
      <c r="D14" s="11"/>
    </row>
    <row r="15" spans="1:8" x14ac:dyDescent="0.25">
      <c r="D15" s="11"/>
    </row>
    <row r="16" spans="1:8" x14ac:dyDescent="0.25">
      <c r="D16" s="11"/>
    </row>
    <row r="19" spans="4:4" x14ac:dyDescent="0.25">
      <c r="D19" s="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1DE7-1C71-4426-A5F1-28DE40477C68}">
  <dimension ref="A1:D12"/>
  <sheetViews>
    <sheetView workbookViewId="0">
      <selection activeCell="N15" sqref="N15"/>
    </sheetView>
  </sheetViews>
  <sheetFormatPr defaultRowHeight="15" x14ac:dyDescent="0.25"/>
  <cols>
    <col min="1" max="1" width="14" bestFit="1" customWidth="1"/>
    <col min="2" max="2" width="12" bestFit="1" customWidth="1"/>
    <col min="3" max="3" width="15.140625" bestFit="1" customWidth="1"/>
    <col min="4" max="4" width="12" bestFit="1" customWidth="1"/>
  </cols>
  <sheetData>
    <row r="1" spans="1:4" x14ac:dyDescent="0.25">
      <c r="A1" s="45" t="s">
        <v>494</v>
      </c>
      <c r="B1" s="45"/>
      <c r="C1" s="45"/>
      <c r="D1" s="45"/>
    </row>
    <row r="2" spans="1:4" x14ac:dyDescent="0.25">
      <c r="A2" s="18" t="s">
        <v>132</v>
      </c>
      <c r="B2" s="18" t="s">
        <v>280</v>
      </c>
      <c r="C2" s="18" t="s">
        <v>281</v>
      </c>
      <c r="D2" s="18" t="s">
        <v>282</v>
      </c>
    </row>
    <row r="3" spans="1:4" x14ac:dyDescent="0.25">
      <c r="A3" s="33" t="s">
        <v>283</v>
      </c>
      <c r="B3" s="33" t="s">
        <v>284</v>
      </c>
      <c r="C3" s="33" t="s">
        <v>285</v>
      </c>
      <c r="D3" s="33">
        <v>9876543210</v>
      </c>
    </row>
    <row r="4" spans="1:4" x14ac:dyDescent="0.25">
      <c r="A4" s="33" t="s">
        <v>283</v>
      </c>
      <c r="B4" s="33" t="s">
        <v>286</v>
      </c>
      <c r="C4" s="33" t="s">
        <v>287</v>
      </c>
      <c r="D4" s="33">
        <v>9876543211</v>
      </c>
    </row>
    <row r="5" spans="1:4" x14ac:dyDescent="0.25">
      <c r="A5" s="33" t="s">
        <v>283</v>
      </c>
      <c r="B5" s="33" t="s">
        <v>288</v>
      </c>
      <c r="C5" s="33" t="s">
        <v>289</v>
      </c>
      <c r="D5" s="33">
        <v>9876543212</v>
      </c>
    </row>
    <row r="6" spans="1:4" x14ac:dyDescent="0.25">
      <c r="A6" s="33" t="s">
        <v>283</v>
      </c>
      <c r="B6" s="33" t="s">
        <v>290</v>
      </c>
      <c r="C6" s="33" t="s">
        <v>291</v>
      </c>
      <c r="D6" s="33">
        <v>9876543213</v>
      </c>
    </row>
    <row r="7" spans="1:4" x14ac:dyDescent="0.25">
      <c r="A7" s="33" t="s">
        <v>283</v>
      </c>
      <c r="B7" s="33" t="s">
        <v>292</v>
      </c>
      <c r="C7" s="33" t="s">
        <v>20</v>
      </c>
      <c r="D7" s="33">
        <v>9876543214</v>
      </c>
    </row>
    <row r="8" spans="1:4" x14ac:dyDescent="0.25">
      <c r="A8" s="33" t="s">
        <v>293</v>
      </c>
      <c r="B8" s="33" t="s">
        <v>284</v>
      </c>
      <c r="C8" s="33" t="s">
        <v>289</v>
      </c>
      <c r="D8" s="33">
        <v>9876543215</v>
      </c>
    </row>
    <row r="9" spans="1:4" x14ac:dyDescent="0.25">
      <c r="A9" s="33" t="s">
        <v>283</v>
      </c>
      <c r="B9" s="33" t="s">
        <v>294</v>
      </c>
      <c r="C9" s="33" t="s">
        <v>289</v>
      </c>
      <c r="D9" s="33">
        <v>9876543212</v>
      </c>
    </row>
    <row r="10" spans="1:4" x14ac:dyDescent="0.25">
      <c r="A10" s="33" t="s">
        <v>295</v>
      </c>
      <c r="B10" s="33" t="s">
        <v>296</v>
      </c>
      <c r="C10" s="33" t="s">
        <v>291</v>
      </c>
      <c r="D10" s="33">
        <v>9876543213</v>
      </c>
    </row>
    <row r="11" spans="1:4" x14ac:dyDescent="0.25">
      <c r="A11" s="33" t="s">
        <v>283</v>
      </c>
      <c r="B11" s="33" t="s">
        <v>292</v>
      </c>
      <c r="C11" s="33" t="s">
        <v>297</v>
      </c>
      <c r="D11" s="33">
        <v>9876543214</v>
      </c>
    </row>
    <row r="12" spans="1:4" x14ac:dyDescent="0.25">
      <c r="A12" s="33" t="s">
        <v>283</v>
      </c>
      <c r="B12" s="33" t="s">
        <v>284</v>
      </c>
      <c r="C12" s="33" t="s">
        <v>35</v>
      </c>
      <c r="D12" s="33">
        <v>9876543215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ED95-46FA-4714-94F0-259F9DD7407A}">
  <dimension ref="A1:O102"/>
  <sheetViews>
    <sheetView tabSelected="1" workbookViewId="0">
      <selection activeCell="H8" sqref="H8"/>
    </sheetView>
  </sheetViews>
  <sheetFormatPr defaultRowHeight="15" x14ac:dyDescent="0.25"/>
  <cols>
    <col min="1" max="1" width="15.5703125" bestFit="1" customWidth="1"/>
    <col min="2" max="2" width="10.42578125" bestFit="1" customWidth="1"/>
    <col min="10" max="10" width="11.28515625" bestFit="1" customWidth="1"/>
    <col min="11" max="14" width="8.7109375" bestFit="1" customWidth="1"/>
    <col min="15" max="15" width="10.7109375" bestFit="1" customWidth="1"/>
  </cols>
  <sheetData>
    <row r="1" spans="1:15" x14ac:dyDescent="0.25">
      <c r="A1" s="1" t="s">
        <v>495</v>
      </c>
    </row>
    <row r="2" spans="1:15" x14ac:dyDescent="0.25">
      <c r="A2" s="34" t="s">
        <v>125</v>
      </c>
      <c r="B2" s="34" t="s">
        <v>496</v>
      </c>
      <c r="C2" s="34" t="s">
        <v>497</v>
      </c>
      <c r="D2" s="34" t="s">
        <v>498</v>
      </c>
      <c r="E2" s="34" t="s">
        <v>499</v>
      </c>
      <c r="F2" s="34" t="s">
        <v>18</v>
      </c>
    </row>
    <row r="3" spans="1:15" x14ac:dyDescent="0.25">
      <c r="A3" s="35">
        <v>42372</v>
      </c>
      <c r="B3" s="8" t="s">
        <v>54</v>
      </c>
      <c r="C3" s="36" t="s">
        <v>500</v>
      </c>
      <c r="D3" s="36" t="s">
        <v>501</v>
      </c>
      <c r="E3" s="36">
        <v>1</v>
      </c>
      <c r="F3" s="37">
        <v>11</v>
      </c>
    </row>
    <row r="4" spans="1:15" x14ac:dyDescent="0.25">
      <c r="A4" s="38">
        <v>42382</v>
      </c>
      <c r="B4" s="8" t="s">
        <v>57</v>
      </c>
      <c r="C4" s="39" t="s">
        <v>502</v>
      </c>
      <c r="D4" s="39" t="s">
        <v>503</v>
      </c>
      <c r="E4" s="39">
        <v>8</v>
      </c>
      <c r="F4" s="40">
        <v>96</v>
      </c>
      <c r="J4" s="44" t="s">
        <v>504</v>
      </c>
      <c r="K4" s="44" t="s">
        <v>498</v>
      </c>
    </row>
    <row r="5" spans="1:15" x14ac:dyDescent="0.25">
      <c r="A5" s="35">
        <v>42390</v>
      </c>
      <c r="B5" s="8" t="s">
        <v>61</v>
      </c>
      <c r="C5" s="36" t="s">
        <v>505</v>
      </c>
      <c r="D5" s="36" t="s">
        <v>501</v>
      </c>
      <c r="E5" s="36">
        <v>2</v>
      </c>
      <c r="F5" s="37">
        <v>26</v>
      </c>
      <c r="J5" s="44" t="s">
        <v>496</v>
      </c>
      <c r="K5" t="s">
        <v>506</v>
      </c>
      <c r="L5" t="s">
        <v>507</v>
      </c>
      <c r="M5" t="s">
        <v>503</v>
      </c>
      <c r="N5" t="s">
        <v>501</v>
      </c>
      <c r="O5" t="s">
        <v>508</v>
      </c>
    </row>
    <row r="6" spans="1:15" x14ac:dyDescent="0.25">
      <c r="A6" s="38">
        <v>42399</v>
      </c>
      <c r="B6" s="8" t="s">
        <v>64</v>
      </c>
      <c r="C6" s="39" t="s">
        <v>502</v>
      </c>
      <c r="D6" s="39" t="s">
        <v>507</v>
      </c>
      <c r="E6" s="39">
        <v>7</v>
      </c>
      <c r="F6" s="40">
        <v>84</v>
      </c>
      <c r="J6" t="s">
        <v>131</v>
      </c>
      <c r="L6">
        <v>123</v>
      </c>
      <c r="M6">
        <v>241</v>
      </c>
      <c r="O6" s="41">
        <v>364</v>
      </c>
    </row>
    <row r="7" spans="1:15" x14ac:dyDescent="0.25">
      <c r="A7" s="35">
        <v>42407</v>
      </c>
      <c r="B7" s="8" t="s">
        <v>67</v>
      </c>
      <c r="C7" s="36" t="s">
        <v>505</v>
      </c>
      <c r="D7" s="36" t="s">
        <v>507</v>
      </c>
      <c r="E7" s="36">
        <v>8</v>
      </c>
      <c r="F7" s="37">
        <v>104</v>
      </c>
      <c r="J7" t="s">
        <v>57</v>
      </c>
      <c r="K7">
        <v>230</v>
      </c>
      <c r="L7">
        <v>24</v>
      </c>
      <c r="M7">
        <v>175</v>
      </c>
      <c r="N7">
        <v>66</v>
      </c>
      <c r="O7" s="41">
        <v>495</v>
      </c>
    </row>
    <row r="8" spans="1:15" x14ac:dyDescent="0.25">
      <c r="A8" s="38">
        <v>42413</v>
      </c>
      <c r="B8" s="8" t="s">
        <v>71</v>
      </c>
      <c r="C8" s="39" t="s">
        <v>500</v>
      </c>
      <c r="D8" s="39" t="s">
        <v>503</v>
      </c>
      <c r="E8" s="39">
        <v>2</v>
      </c>
      <c r="F8" s="40">
        <v>22</v>
      </c>
      <c r="J8" t="s">
        <v>509</v>
      </c>
      <c r="K8">
        <v>284</v>
      </c>
      <c r="M8">
        <v>79</v>
      </c>
      <c r="N8">
        <v>12</v>
      </c>
      <c r="O8" s="41">
        <v>375</v>
      </c>
    </row>
    <row r="9" spans="1:15" x14ac:dyDescent="0.25">
      <c r="A9" s="35">
        <v>42421</v>
      </c>
      <c r="B9" s="42" t="s">
        <v>510</v>
      </c>
      <c r="C9" s="36" t="s">
        <v>502</v>
      </c>
      <c r="D9" s="36" t="s">
        <v>506</v>
      </c>
      <c r="E9" s="36">
        <v>5</v>
      </c>
      <c r="F9" s="37">
        <v>60</v>
      </c>
      <c r="J9" t="s">
        <v>511</v>
      </c>
      <c r="K9">
        <v>84</v>
      </c>
      <c r="M9">
        <v>13</v>
      </c>
      <c r="N9">
        <v>250</v>
      </c>
      <c r="O9" s="41">
        <v>347</v>
      </c>
    </row>
    <row r="10" spans="1:15" x14ac:dyDescent="0.25">
      <c r="A10" s="38">
        <v>42430</v>
      </c>
      <c r="B10" s="43" t="s">
        <v>512</v>
      </c>
      <c r="C10" s="39" t="s">
        <v>505</v>
      </c>
      <c r="D10" s="39" t="s">
        <v>501</v>
      </c>
      <c r="E10" s="39">
        <v>2</v>
      </c>
      <c r="F10" s="40">
        <v>26</v>
      </c>
      <c r="J10" t="s">
        <v>67</v>
      </c>
      <c r="K10">
        <v>84</v>
      </c>
      <c r="L10">
        <v>213</v>
      </c>
      <c r="M10">
        <v>67</v>
      </c>
      <c r="N10">
        <v>98</v>
      </c>
      <c r="O10" s="41">
        <v>462</v>
      </c>
    </row>
    <row r="11" spans="1:15" x14ac:dyDescent="0.25">
      <c r="A11" s="35">
        <v>42442</v>
      </c>
      <c r="B11" s="42" t="s">
        <v>509</v>
      </c>
      <c r="C11" s="36" t="s">
        <v>502</v>
      </c>
      <c r="D11" s="36" t="s">
        <v>506</v>
      </c>
      <c r="E11" s="36">
        <v>8</v>
      </c>
      <c r="F11" s="37">
        <v>96</v>
      </c>
      <c r="J11" t="s">
        <v>512</v>
      </c>
      <c r="L11">
        <v>96</v>
      </c>
      <c r="M11">
        <v>78</v>
      </c>
      <c r="N11">
        <v>278</v>
      </c>
      <c r="O11" s="41">
        <v>452</v>
      </c>
    </row>
    <row r="12" spans="1:15" x14ac:dyDescent="0.25">
      <c r="A12" s="38">
        <v>42452</v>
      </c>
      <c r="B12" s="43" t="s">
        <v>131</v>
      </c>
      <c r="C12" s="39" t="s">
        <v>502</v>
      </c>
      <c r="D12" s="39" t="s">
        <v>507</v>
      </c>
      <c r="E12" s="39">
        <v>7</v>
      </c>
      <c r="F12" s="40">
        <v>84</v>
      </c>
      <c r="J12" t="s">
        <v>513</v>
      </c>
      <c r="K12">
        <v>66</v>
      </c>
      <c r="L12">
        <v>245</v>
      </c>
      <c r="M12">
        <v>174</v>
      </c>
      <c r="N12">
        <v>78</v>
      </c>
      <c r="O12" s="41">
        <v>563</v>
      </c>
    </row>
    <row r="13" spans="1:15" x14ac:dyDescent="0.25">
      <c r="A13" s="35">
        <v>42457</v>
      </c>
      <c r="B13" s="42" t="s">
        <v>514</v>
      </c>
      <c r="C13" s="36" t="s">
        <v>505</v>
      </c>
      <c r="D13" s="36" t="s">
        <v>501</v>
      </c>
      <c r="E13" s="36">
        <v>2</v>
      </c>
      <c r="F13" s="37">
        <v>26</v>
      </c>
      <c r="J13" t="s">
        <v>54</v>
      </c>
      <c r="K13">
        <v>100</v>
      </c>
      <c r="M13">
        <v>129</v>
      </c>
      <c r="N13">
        <v>83</v>
      </c>
      <c r="O13" s="41">
        <v>312</v>
      </c>
    </row>
    <row r="14" spans="1:15" x14ac:dyDescent="0.25">
      <c r="A14" s="38">
        <v>42463</v>
      </c>
      <c r="B14" s="43" t="s">
        <v>513</v>
      </c>
      <c r="C14" s="39" t="s">
        <v>502</v>
      </c>
      <c r="D14" s="39" t="s">
        <v>503</v>
      </c>
      <c r="E14" s="39">
        <v>8</v>
      </c>
      <c r="F14" s="40">
        <v>96</v>
      </c>
      <c r="J14" t="s">
        <v>71</v>
      </c>
      <c r="K14">
        <v>89</v>
      </c>
      <c r="M14">
        <v>34</v>
      </c>
      <c r="N14">
        <v>203</v>
      </c>
      <c r="O14" s="41">
        <v>326</v>
      </c>
    </row>
    <row r="15" spans="1:15" x14ac:dyDescent="0.25">
      <c r="A15" s="35">
        <v>42472</v>
      </c>
      <c r="B15" s="42" t="s">
        <v>511</v>
      </c>
      <c r="C15" s="36" t="s">
        <v>505</v>
      </c>
      <c r="D15" s="36" t="s">
        <v>503</v>
      </c>
      <c r="E15" s="36">
        <v>1</v>
      </c>
      <c r="F15" s="37">
        <v>13</v>
      </c>
      <c r="J15" t="s">
        <v>61</v>
      </c>
      <c r="M15">
        <v>173</v>
      </c>
      <c r="N15">
        <v>167</v>
      </c>
      <c r="O15" s="41">
        <v>340</v>
      </c>
    </row>
    <row r="16" spans="1:15" x14ac:dyDescent="0.25">
      <c r="A16" s="38">
        <v>42476</v>
      </c>
      <c r="B16" s="8" t="s">
        <v>54</v>
      </c>
      <c r="C16" s="39" t="s">
        <v>500</v>
      </c>
      <c r="D16" s="39" t="s">
        <v>506</v>
      </c>
      <c r="E16" s="39">
        <v>8</v>
      </c>
      <c r="F16" s="40">
        <v>88</v>
      </c>
      <c r="J16" t="s">
        <v>64</v>
      </c>
      <c r="L16">
        <v>175</v>
      </c>
      <c r="M16">
        <v>202</v>
      </c>
      <c r="N16">
        <v>74</v>
      </c>
      <c r="O16" s="41">
        <v>451</v>
      </c>
    </row>
    <row r="17" spans="1:15" x14ac:dyDescent="0.25">
      <c r="A17" s="35">
        <v>42483</v>
      </c>
      <c r="B17" s="8" t="s">
        <v>57</v>
      </c>
      <c r="C17" s="36" t="s">
        <v>500</v>
      </c>
      <c r="D17" s="36" t="s">
        <v>501</v>
      </c>
      <c r="E17" s="36">
        <v>6</v>
      </c>
      <c r="F17" s="37">
        <v>66</v>
      </c>
      <c r="J17" t="s">
        <v>510</v>
      </c>
      <c r="K17">
        <v>186</v>
      </c>
      <c r="L17">
        <v>252</v>
      </c>
      <c r="M17">
        <v>65</v>
      </c>
      <c r="O17" s="41">
        <v>503</v>
      </c>
    </row>
    <row r="18" spans="1:15" x14ac:dyDescent="0.25">
      <c r="A18" s="38">
        <v>42490</v>
      </c>
      <c r="B18" s="8" t="s">
        <v>61</v>
      </c>
      <c r="C18" s="39" t="s">
        <v>505</v>
      </c>
      <c r="D18" s="39" t="s">
        <v>503</v>
      </c>
      <c r="E18" s="39">
        <v>5</v>
      </c>
      <c r="F18" s="40">
        <v>65</v>
      </c>
      <c r="J18" t="s">
        <v>514</v>
      </c>
      <c r="K18">
        <v>39</v>
      </c>
      <c r="L18">
        <v>116</v>
      </c>
      <c r="M18">
        <v>72</v>
      </c>
      <c r="N18">
        <v>113</v>
      </c>
      <c r="O18" s="41">
        <v>340</v>
      </c>
    </row>
    <row r="19" spans="1:15" x14ac:dyDescent="0.25">
      <c r="A19" s="35">
        <v>42499</v>
      </c>
      <c r="B19" s="8" t="s">
        <v>64</v>
      </c>
      <c r="C19" s="36" t="s">
        <v>502</v>
      </c>
      <c r="D19" s="36" t="s">
        <v>503</v>
      </c>
      <c r="E19" s="36">
        <v>7</v>
      </c>
      <c r="F19" s="37">
        <v>84</v>
      </c>
      <c r="J19" t="s">
        <v>508</v>
      </c>
      <c r="K19">
        <v>1162</v>
      </c>
      <c r="L19">
        <v>1244</v>
      </c>
      <c r="M19">
        <v>1502</v>
      </c>
      <c r="N19">
        <v>1422</v>
      </c>
      <c r="O19">
        <v>5330</v>
      </c>
    </row>
    <row r="20" spans="1:15" x14ac:dyDescent="0.25">
      <c r="A20" s="38">
        <v>42506</v>
      </c>
      <c r="B20" s="8" t="s">
        <v>67</v>
      </c>
      <c r="C20" s="39" t="s">
        <v>500</v>
      </c>
      <c r="D20" s="39" t="s">
        <v>503</v>
      </c>
      <c r="E20" s="39">
        <v>5</v>
      </c>
      <c r="F20" s="40">
        <v>55</v>
      </c>
    </row>
    <row r="21" spans="1:15" x14ac:dyDescent="0.25">
      <c r="A21" s="35">
        <v>42515</v>
      </c>
      <c r="B21" s="8" t="s">
        <v>71</v>
      </c>
      <c r="C21" s="36" t="s">
        <v>502</v>
      </c>
      <c r="D21" s="36" t="s">
        <v>503</v>
      </c>
      <c r="E21" s="36">
        <v>1</v>
      </c>
      <c r="F21" s="37">
        <v>12</v>
      </c>
    </row>
    <row r="22" spans="1:15" x14ac:dyDescent="0.25">
      <c r="A22" s="38">
        <v>42520</v>
      </c>
      <c r="B22" s="42" t="s">
        <v>510</v>
      </c>
      <c r="C22" s="39" t="s">
        <v>502</v>
      </c>
      <c r="D22" s="39" t="s">
        <v>507</v>
      </c>
      <c r="E22" s="39">
        <v>4</v>
      </c>
      <c r="F22" s="40">
        <v>48</v>
      </c>
    </row>
    <row r="23" spans="1:15" x14ac:dyDescent="0.25">
      <c r="A23" s="35">
        <v>42525</v>
      </c>
      <c r="B23" s="43" t="s">
        <v>512</v>
      </c>
      <c r="C23" s="36" t="s">
        <v>502</v>
      </c>
      <c r="D23" s="36" t="s">
        <v>507</v>
      </c>
      <c r="E23" s="36">
        <v>7</v>
      </c>
      <c r="F23" s="37">
        <v>84</v>
      </c>
    </row>
    <row r="24" spans="1:15" x14ac:dyDescent="0.25">
      <c r="A24" s="38">
        <v>42534</v>
      </c>
      <c r="B24" s="42" t="s">
        <v>509</v>
      </c>
      <c r="C24" s="39" t="s">
        <v>500</v>
      </c>
      <c r="D24" s="39" t="s">
        <v>506</v>
      </c>
      <c r="E24" s="39">
        <v>3</v>
      </c>
      <c r="F24" s="40">
        <v>33</v>
      </c>
    </row>
    <row r="25" spans="1:15" x14ac:dyDescent="0.25">
      <c r="A25" s="35">
        <v>42542</v>
      </c>
      <c r="B25" s="43" t="s">
        <v>131</v>
      </c>
      <c r="C25" s="36" t="s">
        <v>502</v>
      </c>
      <c r="D25" s="36" t="s">
        <v>503</v>
      </c>
      <c r="E25" s="36">
        <v>2</v>
      </c>
      <c r="F25" s="37">
        <v>24</v>
      </c>
    </row>
    <row r="26" spans="1:15" x14ac:dyDescent="0.25">
      <c r="A26" s="38">
        <v>42547</v>
      </c>
      <c r="B26" s="42" t="s">
        <v>514</v>
      </c>
      <c r="C26" s="39" t="s">
        <v>502</v>
      </c>
      <c r="D26" s="39" t="s">
        <v>503</v>
      </c>
      <c r="E26" s="39">
        <v>6</v>
      </c>
      <c r="F26" s="40">
        <v>72</v>
      </c>
    </row>
    <row r="27" spans="1:15" x14ac:dyDescent="0.25">
      <c r="A27" s="35">
        <v>42553</v>
      </c>
      <c r="B27" s="43" t="s">
        <v>513</v>
      </c>
      <c r="C27" s="36" t="s">
        <v>500</v>
      </c>
      <c r="D27" s="36" t="s">
        <v>506</v>
      </c>
      <c r="E27" s="36">
        <v>6</v>
      </c>
      <c r="F27" s="37">
        <v>66</v>
      </c>
    </row>
    <row r="28" spans="1:15" x14ac:dyDescent="0.25">
      <c r="A28" s="38">
        <v>42559</v>
      </c>
      <c r="B28" s="42" t="s">
        <v>511</v>
      </c>
      <c r="C28" s="39" t="s">
        <v>505</v>
      </c>
      <c r="D28" s="39" t="s">
        <v>501</v>
      </c>
      <c r="E28" s="39">
        <v>2</v>
      </c>
      <c r="F28" s="40">
        <v>26</v>
      </c>
    </row>
    <row r="29" spans="1:15" x14ac:dyDescent="0.25">
      <c r="A29" s="35">
        <v>42563</v>
      </c>
      <c r="B29" s="8" t="s">
        <v>54</v>
      </c>
      <c r="C29" s="36" t="s">
        <v>502</v>
      </c>
      <c r="D29" s="36" t="s">
        <v>503</v>
      </c>
      <c r="E29" s="36">
        <v>4</v>
      </c>
      <c r="F29" s="37">
        <v>48</v>
      </c>
    </row>
    <row r="30" spans="1:15" x14ac:dyDescent="0.25">
      <c r="A30" s="38">
        <v>42570</v>
      </c>
      <c r="B30" s="8" t="s">
        <v>57</v>
      </c>
      <c r="C30" s="39" t="s">
        <v>505</v>
      </c>
      <c r="D30" s="39" t="s">
        <v>503</v>
      </c>
      <c r="E30" s="39">
        <v>1</v>
      </c>
      <c r="F30" s="40">
        <v>13</v>
      </c>
    </row>
    <row r="31" spans="1:15" x14ac:dyDescent="0.25">
      <c r="A31" s="35">
        <v>42577</v>
      </c>
      <c r="B31" s="8" t="s">
        <v>61</v>
      </c>
      <c r="C31" s="36" t="s">
        <v>502</v>
      </c>
      <c r="D31" s="36" t="s">
        <v>501</v>
      </c>
      <c r="E31" s="36">
        <v>1</v>
      </c>
      <c r="F31" s="37">
        <v>12</v>
      </c>
    </row>
    <row r="32" spans="1:15" x14ac:dyDescent="0.25">
      <c r="A32" s="38">
        <v>42582</v>
      </c>
      <c r="B32" s="8" t="s">
        <v>64</v>
      </c>
      <c r="C32" s="39" t="s">
        <v>500</v>
      </c>
      <c r="D32" s="39" t="s">
        <v>503</v>
      </c>
      <c r="E32" s="39">
        <v>2</v>
      </c>
      <c r="F32" s="40">
        <v>22</v>
      </c>
    </row>
    <row r="33" spans="1:6" x14ac:dyDescent="0.25">
      <c r="A33" s="35">
        <v>42589</v>
      </c>
      <c r="B33" s="8" t="s">
        <v>67</v>
      </c>
      <c r="C33" s="36" t="s">
        <v>505</v>
      </c>
      <c r="D33" s="36" t="s">
        <v>501</v>
      </c>
      <c r="E33" s="36">
        <v>5</v>
      </c>
      <c r="F33" s="37">
        <v>65</v>
      </c>
    </row>
    <row r="34" spans="1:6" x14ac:dyDescent="0.25">
      <c r="A34" s="38">
        <v>42595</v>
      </c>
      <c r="B34" s="8" t="s">
        <v>71</v>
      </c>
      <c r="C34" s="39" t="s">
        <v>502</v>
      </c>
      <c r="D34" s="39" t="s">
        <v>501</v>
      </c>
      <c r="E34" s="39">
        <v>5</v>
      </c>
      <c r="F34" s="40">
        <v>60</v>
      </c>
    </row>
    <row r="35" spans="1:6" x14ac:dyDescent="0.25">
      <c r="A35" s="35">
        <v>42602</v>
      </c>
      <c r="B35" s="42" t="s">
        <v>510</v>
      </c>
      <c r="C35" s="36" t="s">
        <v>505</v>
      </c>
      <c r="D35" s="36" t="s">
        <v>507</v>
      </c>
      <c r="E35" s="36">
        <v>8</v>
      </c>
      <c r="F35" s="37">
        <v>104</v>
      </c>
    </row>
    <row r="36" spans="1:6" x14ac:dyDescent="0.25">
      <c r="A36" s="38">
        <v>42607</v>
      </c>
      <c r="B36" s="43" t="s">
        <v>512</v>
      </c>
      <c r="C36" s="39" t="s">
        <v>502</v>
      </c>
      <c r="D36" s="39" t="s">
        <v>501</v>
      </c>
      <c r="E36" s="39">
        <v>4</v>
      </c>
      <c r="F36" s="40">
        <v>48</v>
      </c>
    </row>
    <row r="37" spans="1:6" x14ac:dyDescent="0.25">
      <c r="A37" s="35">
        <v>42614</v>
      </c>
      <c r="B37" s="42" t="s">
        <v>509</v>
      </c>
      <c r="C37" s="36" t="s">
        <v>500</v>
      </c>
      <c r="D37" s="36" t="s">
        <v>503</v>
      </c>
      <c r="E37" s="36">
        <v>6</v>
      </c>
      <c r="F37" s="37">
        <v>66</v>
      </c>
    </row>
    <row r="38" spans="1:6" x14ac:dyDescent="0.25">
      <c r="A38" s="38">
        <v>42620</v>
      </c>
      <c r="B38" s="43" t="s">
        <v>131</v>
      </c>
      <c r="C38" s="39" t="s">
        <v>505</v>
      </c>
      <c r="D38" s="39" t="s">
        <v>503</v>
      </c>
      <c r="E38" s="39">
        <v>7</v>
      </c>
      <c r="F38" s="40">
        <v>91</v>
      </c>
    </row>
    <row r="39" spans="1:6" x14ac:dyDescent="0.25">
      <c r="A39" s="35">
        <v>42623</v>
      </c>
      <c r="B39" s="42" t="s">
        <v>514</v>
      </c>
      <c r="C39" s="36" t="s">
        <v>500</v>
      </c>
      <c r="D39" s="36" t="s">
        <v>507</v>
      </c>
      <c r="E39" s="36">
        <v>4</v>
      </c>
      <c r="F39" s="37">
        <v>44</v>
      </c>
    </row>
    <row r="40" spans="1:6" x14ac:dyDescent="0.25">
      <c r="A40" s="38">
        <v>42626</v>
      </c>
      <c r="B40" s="43" t="s">
        <v>513</v>
      </c>
      <c r="C40" s="39" t="s">
        <v>505</v>
      </c>
      <c r="D40" s="39" t="s">
        <v>501</v>
      </c>
      <c r="E40" s="39">
        <v>6</v>
      </c>
      <c r="F40" s="40">
        <v>78</v>
      </c>
    </row>
    <row r="41" spans="1:6" x14ac:dyDescent="0.25">
      <c r="A41" s="35">
        <v>42632</v>
      </c>
      <c r="B41" s="42" t="s">
        <v>511</v>
      </c>
      <c r="C41" s="36" t="s">
        <v>502</v>
      </c>
      <c r="D41" s="36" t="s">
        <v>501</v>
      </c>
      <c r="E41" s="36">
        <v>1</v>
      </c>
      <c r="F41" s="37">
        <v>12</v>
      </c>
    </row>
    <row r="42" spans="1:6" x14ac:dyDescent="0.25">
      <c r="A42" s="38">
        <v>42639</v>
      </c>
      <c r="B42" s="8" t="s">
        <v>54</v>
      </c>
      <c r="C42" s="39" t="s">
        <v>502</v>
      </c>
      <c r="D42" s="39" t="s">
        <v>503</v>
      </c>
      <c r="E42" s="39">
        <v>4</v>
      </c>
      <c r="F42" s="40">
        <v>48</v>
      </c>
    </row>
    <row r="43" spans="1:6" x14ac:dyDescent="0.25">
      <c r="A43" s="35">
        <v>42643</v>
      </c>
      <c r="B43" s="8" t="s">
        <v>57</v>
      </c>
      <c r="C43" s="36" t="s">
        <v>500</v>
      </c>
      <c r="D43" s="36" t="s">
        <v>503</v>
      </c>
      <c r="E43" s="36">
        <v>6</v>
      </c>
      <c r="F43" s="37">
        <v>66</v>
      </c>
    </row>
    <row r="44" spans="1:6" x14ac:dyDescent="0.25">
      <c r="A44" s="38">
        <v>42649</v>
      </c>
      <c r="B44" s="8" t="s">
        <v>61</v>
      </c>
      <c r="C44" s="39" t="s">
        <v>502</v>
      </c>
      <c r="D44" s="39" t="s">
        <v>503</v>
      </c>
      <c r="E44" s="39">
        <v>3</v>
      </c>
      <c r="F44" s="40">
        <v>36</v>
      </c>
    </row>
    <row r="45" spans="1:6" x14ac:dyDescent="0.25">
      <c r="A45" s="35">
        <v>42652</v>
      </c>
      <c r="B45" s="8" t="s">
        <v>64</v>
      </c>
      <c r="C45" s="36" t="s">
        <v>505</v>
      </c>
      <c r="D45" s="36" t="s">
        <v>501</v>
      </c>
      <c r="E45" s="36">
        <v>2</v>
      </c>
      <c r="F45" s="37">
        <v>26</v>
      </c>
    </row>
    <row r="46" spans="1:6" x14ac:dyDescent="0.25">
      <c r="A46" s="38">
        <v>42657</v>
      </c>
      <c r="B46" s="8" t="s">
        <v>67</v>
      </c>
      <c r="C46" s="39" t="s">
        <v>502</v>
      </c>
      <c r="D46" s="39" t="s">
        <v>503</v>
      </c>
      <c r="E46" s="39">
        <v>1</v>
      </c>
      <c r="F46" s="40">
        <v>12</v>
      </c>
    </row>
    <row r="47" spans="1:6" x14ac:dyDescent="0.25">
      <c r="A47" s="35">
        <v>42662</v>
      </c>
      <c r="B47" s="8" t="s">
        <v>71</v>
      </c>
      <c r="C47" s="36" t="s">
        <v>502</v>
      </c>
      <c r="D47" s="36" t="s">
        <v>506</v>
      </c>
      <c r="E47" s="36">
        <v>2</v>
      </c>
      <c r="F47" s="37">
        <v>24</v>
      </c>
    </row>
    <row r="48" spans="1:6" x14ac:dyDescent="0.25">
      <c r="A48" s="38">
        <v>42666</v>
      </c>
      <c r="B48" s="42" t="s">
        <v>510</v>
      </c>
      <c r="C48" s="39" t="s">
        <v>500</v>
      </c>
      <c r="D48" s="39" t="s">
        <v>507</v>
      </c>
      <c r="E48" s="39">
        <v>8</v>
      </c>
      <c r="F48" s="40">
        <v>88</v>
      </c>
    </row>
    <row r="49" spans="1:6" x14ac:dyDescent="0.25">
      <c r="A49" s="35">
        <v>42669</v>
      </c>
      <c r="B49" s="43" t="s">
        <v>512</v>
      </c>
      <c r="C49" s="36" t="s">
        <v>505</v>
      </c>
      <c r="D49" s="36" t="s">
        <v>503</v>
      </c>
      <c r="E49" s="36">
        <v>6</v>
      </c>
      <c r="F49" s="37">
        <v>78</v>
      </c>
    </row>
    <row r="50" spans="1:6" x14ac:dyDescent="0.25">
      <c r="A50" s="38">
        <v>42673</v>
      </c>
      <c r="B50" s="42" t="s">
        <v>509</v>
      </c>
      <c r="C50" s="39" t="s">
        <v>505</v>
      </c>
      <c r="D50" s="39" t="s">
        <v>506</v>
      </c>
      <c r="E50" s="39">
        <v>7</v>
      </c>
      <c r="F50" s="40">
        <v>91</v>
      </c>
    </row>
    <row r="51" spans="1:6" x14ac:dyDescent="0.25">
      <c r="A51" s="35">
        <v>42679</v>
      </c>
      <c r="B51" s="43" t="s">
        <v>131</v>
      </c>
      <c r="C51" s="36" t="s">
        <v>500</v>
      </c>
      <c r="D51" s="36" t="s">
        <v>503</v>
      </c>
      <c r="E51" s="36">
        <v>2</v>
      </c>
      <c r="F51" s="37">
        <v>22</v>
      </c>
    </row>
    <row r="52" spans="1:6" x14ac:dyDescent="0.25">
      <c r="A52" s="38">
        <v>42684</v>
      </c>
      <c r="B52" s="42" t="s">
        <v>514</v>
      </c>
      <c r="C52" s="39" t="s">
        <v>502</v>
      </c>
      <c r="D52" s="39" t="s">
        <v>507</v>
      </c>
      <c r="E52" s="39">
        <v>6</v>
      </c>
      <c r="F52" s="40">
        <v>72</v>
      </c>
    </row>
    <row r="53" spans="1:6" x14ac:dyDescent="0.25">
      <c r="A53" s="35">
        <v>42689</v>
      </c>
      <c r="B53" s="43" t="s">
        <v>513</v>
      </c>
      <c r="C53" s="36" t="s">
        <v>502</v>
      </c>
      <c r="D53" s="36" t="s">
        <v>507</v>
      </c>
      <c r="E53" s="36">
        <v>6</v>
      </c>
      <c r="F53" s="37">
        <v>72</v>
      </c>
    </row>
    <row r="54" spans="1:6" x14ac:dyDescent="0.25">
      <c r="A54" s="38">
        <v>42694</v>
      </c>
      <c r="B54" s="42" t="s">
        <v>511</v>
      </c>
      <c r="C54" s="39" t="s">
        <v>502</v>
      </c>
      <c r="D54" s="39" t="s">
        <v>501</v>
      </c>
      <c r="E54" s="39">
        <v>8</v>
      </c>
      <c r="F54" s="40">
        <v>96</v>
      </c>
    </row>
    <row r="55" spans="1:6" x14ac:dyDescent="0.25">
      <c r="A55" s="35">
        <v>42697</v>
      </c>
      <c r="B55" s="8" t="s">
        <v>54</v>
      </c>
      <c r="C55" s="36" t="s">
        <v>500</v>
      </c>
      <c r="D55" s="36" t="s">
        <v>503</v>
      </c>
      <c r="E55" s="36">
        <v>3</v>
      </c>
      <c r="F55" s="37">
        <v>33</v>
      </c>
    </row>
    <row r="56" spans="1:6" x14ac:dyDescent="0.25">
      <c r="A56" s="38">
        <v>42702</v>
      </c>
      <c r="B56" s="8" t="s">
        <v>57</v>
      </c>
      <c r="C56" s="39" t="s">
        <v>502</v>
      </c>
      <c r="D56" s="39" t="s">
        <v>507</v>
      </c>
      <c r="E56" s="39">
        <v>2</v>
      </c>
      <c r="F56" s="40">
        <v>24</v>
      </c>
    </row>
    <row r="57" spans="1:6" x14ac:dyDescent="0.25">
      <c r="A57" s="35">
        <v>42704</v>
      </c>
      <c r="B57" s="8" t="s">
        <v>61</v>
      </c>
      <c r="C57" s="36" t="s">
        <v>502</v>
      </c>
      <c r="D57" s="36" t="s">
        <v>503</v>
      </c>
      <c r="E57" s="36">
        <v>1</v>
      </c>
      <c r="F57" s="37">
        <v>12</v>
      </c>
    </row>
    <row r="58" spans="1:6" x14ac:dyDescent="0.25">
      <c r="A58" s="38">
        <v>42708</v>
      </c>
      <c r="B58" s="8" t="s">
        <v>64</v>
      </c>
      <c r="C58" s="39" t="s">
        <v>502</v>
      </c>
      <c r="D58" s="39" t="s">
        <v>503</v>
      </c>
      <c r="E58" s="39">
        <v>8</v>
      </c>
      <c r="F58" s="40">
        <v>96</v>
      </c>
    </row>
    <row r="59" spans="1:6" x14ac:dyDescent="0.25">
      <c r="A59" s="35">
        <v>42711</v>
      </c>
      <c r="B59" s="8" t="s">
        <v>67</v>
      </c>
      <c r="C59" s="36" t="s">
        <v>505</v>
      </c>
      <c r="D59" s="36" t="s">
        <v>507</v>
      </c>
      <c r="E59" s="36">
        <v>1</v>
      </c>
      <c r="F59" s="37">
        <v>13</v>
      </c>
    </row>
    <row r="60" spans="1:6" x14ac:dyDescent="0.25">
      <c r="A60" s="38">
        <v>42713</v>
      </c>
      <c r="B60" s="8" t="s">
        <v>71</v>
      </c>
      <c r="C60" s="39" t="s">
        <v>505</v>
      </c>
      <c r="D60" s="39" t="s">
        <v>506</v>
      </c>
      <c r="E60" s="39">
        <v>5</v>
      </c>
      <c r="F60" s="40">
        <v>65</v>
      </c>
    </row>
    <row r="61" spans="1:6" x14ac:dyDescent="0.25">
      <c r="A61" s="35">
        <v>42718</v>
      </c>
      <c r="B61" s="42" t="s">
        <v>510</v>
      </c>
      <c r="C61" s="36" t="s">
        <v>502</v>
      </c>
      <c r="D61" s="36" t="s">
        <v>507</v>
      </c>
      <c r="E61" s="36">
        <v>1</v>
      </c>
      <c r="F61" s="37">
        <v>12</v>
      </c>
    </row>
    <row r="62" spans="1:6" x14ac:dyDescent="0.25">
      <c r="A62" s="38">
        <v>42720</v>
      </c>
      <c r="B62" s="43" t="s">
        <v>512</v>
      </c>
      <c r="C62" s="39" t="s">
        <v>502</v>
      </c>
      <c r="D62" s="39" t="s">
        <v>507</v>
      </c>
      <c r="E62" s="39">
        <v>1</v>
      </c>
      <c r="F62" s="40">
        <v>12</v>
      </c>
    </row>
    <row r="63" spans="1:6" x14ac:dyDescent="0.25">
      <c r="A63" s="35">
        <v>42724</v>
      </c>
      <c r="B63" s="42" t="s">
        <v>509</v>
      </c>
      <c r="C63" s="36" t="s">
        <v>505</v>
      </c>
      <c r="D63" s="36" t="s">
        <v>506</v>
      </c>
      <c r="E63" s="36">
        <v>4</v>
      </c>
      <c r="F63" s="37">
        <v>52</v>
      </c>
    </row>
    <row r="64" spans="1:6" x14ac:dyDescent="0.25">
      <c r="A64" s="38">
        <v>42727</v>
      </c>
      <c r="B64" s="43" t="s">
        <v>131</v>
      </c>
      <c r="C64" s="39" t="s">
        <v>502</v>
      </c>
      <c r="D64" s="39" t="s">
        <v>503</v>
      </c>
      <c r="E64" s="39">
        <v>5</v>
      </c>
      <c r="F64" s="40">
        <v>60</v>
      </c>
    </row>
    <row r="65" spans="1:6" x14ac:dyDescent="0.25">
      <c r="A65" s="35">
        <v>42729</v>
      </c>
      <c r="B65" s="42" t="s">
        <v>514</v>
      </c>
      <c r="C65" s="36" t="s">
        <v>505</v>
      </c>
      <c r="D65" s="36" t="s">
        <v>506</v>
      </c>
      <c r="E65" s="36">
        <v>3</v>
      </c>
      <c r="F65" s="37">
        <v>39</v>
      </c>
    </row>
    <row r="66" spans="1:6" x14ac:dyDescent="0.25">
      <c r="A66" s="38">
        <v>42732</v>
      </c>
      <c r="B66" s="43" t="s">
        <v>513</v>
      </c>
      <c r="C66" s="39" t="s">
        <v>502</v>
      </c>
      <c r="D66" s="39" t="s">
        <v>507</v>
      </c>
      <c r="E66" s="39">
        <v>8</v>
      </c>
      <c r="F66" s="40">
        <v>96</v>
      </c>
    </row>
    <row r="67" spans="1:6" x14ac:dyDescent="0.25">
      <c r="A67" s="35">
        <v>42735</v>
      </c>
      <c r="B67" s="42" t="s">
        <v>511</v>
      </c>
      <c r="C67" s="36" t="s">
        <v>502</v>
      </c>
      <c r="D67" s="36" t="s">
        <v>501</v>
      </c>
      <c r="E67" s="36">
        <v>6</v>
      </c>
      <c r="F67" s="37">
        <v>72</v>
      </c>
    </row>
    <row r="68" spans="1:6" x14ac:dyDescent="0.25">
      <c r="A68" s="38">
        <v>42740</v>
      </c>
      <c r="B68" s="8" t="s">
        <v>54</v>
      </c>
      <c r="C68" s="39" t="s">
        <v>502</v>
      </c>
      <c r="D68" s="39" t="s">
        <v>506</v>
      </c>
      <c r="E68" s="39">
        <v>1</v>
      </c>
      <c r="F68" s="40">
        <v>12</v>
      </c>
    </row>
    <row r="69" spans="1:6" x14ac:dyDescent="0.25">
      <c r="A69" s="35">
        <v>42744</v>
      </c>
      <c r="B69" s="8" t="s">
        <v>57</v>
      </c>
      <c r="C69" s="36" t="s">
        <v>505</v>
      </c>
      <c r="D69" s="36" t="s">
        <v>506</v>
      </c>
      <c r="E69" s="36">
        <v>8</v>
      </c>
      <c r="F69" s="37">
        <v>104</v>
      </c>
    </row>
    <row r="70" spans="1:6" x14ac:dyDescent="0.25">
      <c r="A70" s="38">
        <v>42746</v>
      </c>
      <c r="B70" s="8" t="s">
        <v>61</v>
      </c>
      <c r="C70" s="39" t="s">
        <v>502</v>
      </c>
      <c r="D70" s="39" t="s">
        <v>503</v>
      </c>
      <c r="E70" s="39">
        <v>5</v>
      </c>
      <c r="F70" s="40">
        <v>60</v>
      </c>
    </row>
    <row r="71" spans="1:6" x14ac:dyDescent="0.25">
      <c r="A71" s="35">
        <v>42751</v>
      </c>
      <c r="B71" s="8" t="s">
        <v>64</v>
      </c>
      <c r="C71" s="36" t="s">
        <v>505</v>
      </c>
      <c r="D71" s="36" t="s">
        <v>507</v>
      </c>
      <c r="E71" s="36">
        <v>6</v>
      </c>
      <c r="F71" s="37">
        <v>78</v>
      </c>
    </row>
    <row r="72" spans="1:6" x14ac:dyDescent="0.25">
      <c r="A72" s="38">
        <v>42754</v>
      </c>
      <c r="B72" s="8" t="s">
        <v>67</v>
      </c>
      <c r="C72" s="39" t="s">
        <v>502</v>
      </c>
      <c r="D72" s="39" t="s">
        <v>507</v>
      </c>
      <c r="E72" s="39">
        <v>8</v>
      </c>
      <c r="F72" s="40">
        <v>96</v>
      </c>
    </row>
    <row r="73" spans="1:6" x14ac:dyDescent="0.25">
      <c r="A73" s="35">
        <v>42759</v>
      </c>
      <c r="B73" s="8" t="s">
        <v>71</v>
      </c>
      <c r="C73" s="36" t="s">
        <v>502</v>
      </c>
      <c r="D73" s="36" t="s">
        <v>501</v>
      </c>
      <c r="E73" s="36">
        <v>3</v>
      </c>
      <c r="F73" s="37">
        <v>36</v>
      </c>
    </row>
    <row r="74" spans="1:6" x14ac:dyDescent="0.25">
      <c r="A74" s="38">
        <v>42763</v>
      </c>
      <c r="B74" s="42" t="s">
        <v>510</v>
      </c>
      <c r="C74" s="39" t="s">
        <v>505</v>
      </c>
      <c r="D74" s="39" t="s">
        <v>503</v>
      </c>
      <c r="E74" s="39">
        <v>5</v>
      </c>
      <c r="F74" s="40">
        <v>65</v>
      </c>
    </row>
    <row r="75" spans="1:6" x14ac:dyDescent="0.25">
      <c r="A75" s="35">
        <v>42766</v>
      </c>
      <c r="B75" s="43" t="s">
        <v>512</v>
      </c>
      <c r="C75" s="36" t="s">
        <v>505</v>
      </c>
      <c r="D75" s="36" t="s">
        <v>501</v>
      </c>
      <c r="E75" s="36">
        <v>5</v>
      </c>
      <c r="F75" s="37">
        <v>65</v>
      </c>
    </row>
    <row r="76" spans="1:6" x14ac:dyDescent="0.25">
      <c r="A76" s="38">
        <v>42769</v>
      </c>
      <c r="B76" s="42" t="s">
        <v>509</v>
      </c>
      <c r="C76" s="39" t="s">
        <v>505</v>
      </c>
      <c r="D76" s="39" t="s">
        <v>503</v>
      </c>
      <c r="E76" s="39">
        <v>1</v>
      </c>
      <c r="F76" s="40">
        <v>13</v>
      </c>
    </row>
    <row r="77" spans="1:6" x14ac:dyDescent="0.25">
      <c r="A77" s="35">
        <v>42774</v>
      </c>
      <c r="B77" s="43" t="s">
        <v>131</v>
      </c>
      <c r="C77" s="36" t="s">
        <v>500</v>
      </c>
      <c r="D77" s="36" t="s">
        <v>503</v>
      </c>
      <c r="E77" s="36">
        <v>4</v>
      </c>
      <c r="F77" s="37">
        <v>44</v>
      </c>
    </row>
    <row r="78" spans="1:6" x14ac:dyDescent="0.25">
      <c r="A78" s="38">
        <v>42776</v>
      </c>
      <c r="B78" s="42" t="s">
        <v>514</v>
      </c>
      <c r="C78" s="39" t="s">
        <v>500</v>
      </c>
      <c r="D78" s="39" t="s">
        <v>501</v>
      </c>
      <c r="E78" s="39">
        <v>2</v>
      </c>
      <c r="F78" s="40">
        <v>22</v>
      </c>
    </row>
    <row r="79" spans="1:6" x14ac:dyDescent="0.25">
      <c r="A79" s="35">
        <v>42780</v>
      </c>
      <c r="B79" s="43" t="s">
        <v>513</v>
      </c>
      <c r="C79" s="36" t="s">
        <v>505</v>
      </c>
      <c r="D79" s="36" t="s">
        <v>503</v>
      </c>
      <c r="E79" s="36">
        <v>6</v>
      </c>
      <c r="F79" s="37">
        <v>78</v>
      </c>
    </row>
    <row r="80" spans="1:6" x14ac:dyDescent="0.25">
      <c r="A80" s="38">
        <v>42782</v>
      </c>
      <c r="B80" s="42" t="s">
        <v>511</v>
      </c>
      <c r="C80" s="39" t="s">
        <v>502</v>
      </c>
      <c r="D80" s="39" t="s">
        <v>506</v>
      </c>
      <c r="E80" s="39">
        <v>7</v>
      </c>
      <c r="F80" s="40">
        <v>84</v>
      </c>
    </row>
    <row r="81" spans="1:6" x14ac:dyDescent="0.25">
      <c r="A81" s="35">
        <v>42784</v>
      </c>
      <c r="B81" s="8" t="s">
        <v>54</v>
      </c>
      <c r="C81" s="36" t="s">
        <v>502</v>
      </c>
      <c r="D81" s="36" t="s">
        <v>501</v>
      </c>
      <c r="E81" s="36">
        <v>5</v>
      </c>
      <c r="F81" s="37">
        <v>60</v>
      </c>
    </row>
    <row r="82" spans="1:6" x14ac:dyDescent="0.25">
      <c r="A82" s="38">
        <v>42789</v>
      </c>
      <c r="B82" s="8" t="s">
        <v>57</v>
      </c>
      <c r="C82" s="39" t="s">
        <v>505</v>
      </c>
      <c r="D82" s="39" t="s">
        <v>506</v>
      </c>
      <c r="E82" s="39">
        <v>8</v>
      </c>
      <c r="F82" s="40">
        <v>104</v>
      </c>
    </row>
    <row r="83" spans="1:6" x14ac:dyDescent="0.25">
      <c r="A83" s="35">
        <v>42793</v>
      </c>
      <c r="B83" s="8" t="s">
        <v>61</v>
      </c>
      <c r="C83" s="36" t="s">
        <v>500</v>
      </c>
      <c r="D83" s="36" t="s">
        <v>501</v>
      </c>
      <c r="E83" s="36">
        <v>3</v>
      </c>
      <c r="F83" s="37">
        <v>33</v>
      </c>
    </row>
    <row r="84" spans="1:6" x14ac:dyDescent="0.25">
      <c r="A84" s="38">
        <v>42796</v>
      </c>
      <c r="B84" s="8" t="s">
        <v>64</v>
      </c>
      <c r="C84" s="39" t="s">
        <v>502</v>
      </c>
      <c r="D84" s="39" t="s">
        <v>501</v>
      </c>
      <c r="E84" s="39">
        <v>4</v>
      </c>
      <c r="F84" s="40">
        <v>48</v>
      </c>
    </row>
    <row r="85" spans="1:6" x14ac:dyDescent="0.25">
      <c r="A85" s="35">
        <v>42799</v>
      </c>
      <c r="B85" s="8" t="s">
        <v>67</v>
      </c>
      <c r="C85" s="36" t="s">
        <v>502</v>
      </c>
      <c r="D85" s="36" t="s">
        <v>506</v>
      </c>
      <c r="E85" s="36">
        <v>7</v>
      </c>
      <c r="F85" s="37">
        <v>84</v>
      </c>
    </row>
    <row r="86" spans="1:6" x14ac:dyDescent="0.25">
      <c r="A86" s="38">
        <v>42802</v>
      </c>
      <c r="B86" s="8" t="s">
        <v>71</v>
      </c>
      <c r="C86" s="39" t="s">
        <v>500</v>
      </c>
      <c r="D86" s="39" t="s">
        <v>501</v>
      </c>
      <c r="E86" s="39">
        <v>5</v>
      </c>
      <c r="F86" s="40">
        <v>55</v>
      </c>
    </row>
    <row r="87" spans="1:6" x14ac:dyDescent="0.25">
      <c r="A87" s="35">
        <v>42807</v>
      </c>
      <c r="B87" s="42" t="s">
        <v>510</v>
      </c>
      <c r="C87" s="36" t="s">
        <v>505</v>
      </c>
      <c r="D87" s="36" t="s">
        <v>506</v>
      </c>
      <c r="E87" s="36">
        <v>8</v>
      </c>
      <c r="F87" s="37">
        <v>104</v>
      </c>
    </row>
    <row r="88" spans="1:6" x14ac:dyDescent="0.25">
      <c r="A88" s="38">
        <v>42810</v>
      </c>
      <c r="B88" s="43" t="s">
        <v>512</v>
      </c>
      <c r="C88" s="39" t="s">
        <v>502</v>
      </c>
      <c r="D88" s="39" t="s">
        <v>501</v>
      </c>
      <c r="E88" s="39">
        <v>7</v>
      </c>
      <c r="F88" s="40">
        <v>84</v>
      </c>
    </row>
    <row r="89" spans="1:6" x14ac:dyDescent="0.25">
      <c r="A89" s="35">
        <v>42815</v>
      </c>
      <c r="B89" s="42" t="s">
        <v>509</v>
      </c>
      <c r="C89" s="36" t="s">
        <v>502</v>
      </c>
      <c r="D89" s="36" t="s">
        <v>501</v>
      </c>
      <c r="E89" s="36">
        <v>1</v>
      </c>
      <c r="F89" s="37">
        <v>12</v>
      </c>
    </row>
    <row r="90" spans="1:6" x14ac:dyDescent="0.25">
      <c r="A90" s="38">
        <v>42817</v>
      </c>
      <c r="B90" s="43" t="s">
        <v>131</v>
      </c>
      <c r="C90" s="39" t="s">
        <v>505</v>
      </c>
      <c r="D90" s="39" t="s">
        <v>507</v>
      </c>
      <c r="E90" s="39">
        <v>3</v>
      </c>
      <c r="F90" s="40">
        <v>39</v>
      </c>
    </row>
    <row r="91" spans="1:6" x14ac:dyDescent="0.25">
      <c r="A91" s="35">
        <v>42822</v>
      </c>
      <c r="B91" s="42" t="s">
        <v>514</v>
      </c>
      <c r="C91" s="36" t="s">
        <v>505</v>
      </c>
      <c r="D91" s="36" t="s">
        <v>501</v>
      </c>
      <c r="E91" s="36">
        <v>5</v>
      </c>
      <c r="F91" s="37">
        <v>65</v>
      </c>
    </row>
    <row r="92" spans="1:6" x14ac:dyDescent="0.25">
      <c r="A92" s="38">
        <v>42825</v>
      </c>
      <c r="B92" s="43" t="s">
        <v>513</v>
      </c>
      <c r="C92" s="39" t="s">
        <v>500</v>
      </c>
      <c r="D92" s="39" t="s">
        <v>507</v>
      </c>
      <c r="E92" s="39">
        <v>7</v>
      </c>
      <c r="F92" s="40">
        <v>77</v>
      </c>
    </row>
    <row r="93" spans="1:6" x14ac:dyDescent="0.25">
      <c r="A93" s="35">
        <v>42828</v>
      </c>
      <c r="B93" s="42" t="s">
        <v>511</v>
      </c>
      <c r="C93" s="36" t="s">
        <v>500</v>
      </c>
      <c r="D93" s="36" t="s">
        <v>501</v>
      </c>
      <c r="E93" s="36">
        <v>4</v>
      </c>
      <c r="F93" s="37">
        <v>44</v>
      </c>
    </row>
    <row r="94" spans="1:6" x14ac:dyDescent="0.25">
      <c r="A94" s="38">
        <v>42831</v>
      </c>
      <c r="B94" s="8" t="s">
        <v>54</v>
      </c>
      <c r="C94" s="39" t="s">
        <v>502</v>
      </c>
      <c r="D94" s="39" t="s">
        <v>501</v>
      </c>
      <c r="E94" s="39">
        <v>1</v>
      </c>
      <c r="F94" s="40">
        <v>12</v>
      </c>
    </row>
    <row r="95" spans="1:6" x14ac:dyDescent="0.25">
      <c r="A95" s="35">
        <v>42833</v>
      </c>
      <c r="B95" s="8" t="s">
        <v>57</v>
      </c>
      <c r="C95" s="36" t="s">
        <v>500</v>
      </c>
      <c r="D95" s="36" t="s">
        <v>506</v>
      </c>
      <c r="E95" s="36">
        <v>2</v>
      </c>
      <c r="F95" s="37">
        <v>22</v>
      </c>
    </row>
    <row r="96" spans="1:6" x14ac:dyDescent="0.25">
      <c r="A96" s="38">
        <v>42835</v>
      </c>
      <c r="B96" s="8" t="s">
        <v>61</v>
      </c>
      <c r="C96" s="39" t="s">
        <v>502</v>
      </c>
      <c r="D96" s="39" t="s">
        <v>501</v>
      </c>
      <c r="E96" s="39">
        <v>8</v>
      </c>
      <c r="F96" s="40">
        <v>96</v>
      </c>
    </row>
    <row r="97" spans="1:6" x14ac:dyDescent="0.25">
      <c r="A97" s="35">
        <v>42837</v>
      </c>
      <c r="B97" s="8" t="s">
        <v>64</v>
      </c>
      <c r="C97" s="36" t="s">
        <v>505</v>
      </c>
      <c r="D97" s="36" t="s">
        <v>507</v>
      </c>
      <c r="E97" s="36">
        <v>1</v>
      </c>
      <c r="F97" s="37">
        <v>13</v>
      </c>
    </row>
    <row r="98" spans="1:6" x14ac:dyDescent="0.25">
      <c r="A98" s="38">
        <v>42840</v>
      </c>
      <c r="B98" s="8" t="s">
        <v>67</v>
      </c>
      <c r="C98" s="39" t="s">
        <v>500</v>
      </c>
      <c r="D98" s="39" t="s">
        <v>501</v>
      </c>
      <c r="E98" s="39">
        <v>3</v>
      </c>
      <c r="F98" s="40">
        <v>33</v>
      </c>
    </row>
    <row r="99" spans="1:6" x14ac:dyDescent="0.25">
      <c r="A99" s="35">
        <v>42843</v>
      </c>
      <c r="B99" s="8" t="s">
        <v>71</v>
      </c>
      <c r="C99" s="36" t="s">
        <v>505</v>
      </c>
      <c r="D99" s="36" t="s">
        <v>501</v>
      </c>
      <c r="E99" s="36">
        <v>4</v>
      </c>
      <c r="F99" s="37">
        <v>52</v>
      </c>
    </row>
    <row r="100" spans="1:6" x14ac:dyDescent="0.25">
      <c r="A100" s="38">
        <v>42845</v>
      </c>
      <c r="B100" s="42" t="s">
        <v>510</v>
      </c>
      <c r="C100" s="39" t="s">
        <v>500</v>
      </c>
      <c r="D100" s="39" t="s">
        <v>506</v>
      </c>
      <c r="E100" s="39">
        <v>2</v>
      </c>
      <c r="F100" s="40">
        <v>22</v>
      </c>
    </row>
    <row r="101" spans="1:6" x14ac:dyDescent="0.25">
      <c r="A101" s="35">
        <v>42848</v>
      </c>
      <c r="B101" s="43" t="s">
        <v>512</v>
      </c>
      <c r="C101" s="36" t="s">
        <v>500</v>
      </c>
      <c r="D101" s="36" t="s">
        <v>501</v>
      </c>
      <c r="E101" s="36">
        <v>5</v>
      </c>
      <c r="F101" s="37">
        <v>55</v>
      </c>
    </row>
    <row r="102" spans="1:6" x14ac:dyDescent="0.25">
      <c r="A102" s="38">
        <v>42851</v>
      </c>
      <c r="B102" s="42" t="s">
        <v>509</v>
      </c>
      <c r="C102" s="39" t="s">
        <v>502</v>
      </c>
      <c r="D102" s="39" t="s">
        <v>506</v>
      </c>
      <c r="E102" s="39">
        <v>1</v>
      </c>
      <c r="F102" s="40">
        <v>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Math Formula1 and 2</vt:lpstr>
      <vt:lpstr>Text Formulas</vt:lpstr>
      <vt:lpstr>Logical</vt:lpstr>
      <vt:lpstr>Date</vt:lpstr>
      <vt:lpstr>Vlookup</vt:lpstr>
      <vt:lpstr>Hlookup</vt:lpstr>
      <vt:lpstr>Hlookup + Match</vt:lpstr>
      <vt:lpstr>Index + Match</vt:lpstr>
      <vt:lpstr>Xlookup</vt:lpstr>
      <vt:lpstr>Text2Column</vt:lpstr>
      <vt:lpstr>Flashfill</vt:lpstr>
      <vt:lpstr>Remove Duplicates</vt:lpstr>
      <vt:lpstr>Data Validations</vt:lpstr>
      <vt:lpstr>file_example_XLSX_Text</vt:lpstr>
      <vt:lpstr>file_example_XLSX_100_CSV</vt:lpstr>
      <vt:lpstr>Formatting Data</vt:lpstr>
      <vt:lpstr>Formatting table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Chandra Joshi</dc:creator>
  <cp:lastModifiedBy>Deep Chandra Joshi</cp:lastModifiedBy>
  <dcterms:created xsi:type="dcterms:W3CDTF">2026-05-24T23:39:14Z</dcterms:created>
  <dcterms:modified xsi:type="dcterms:W3CDTF">2026-05-25T22:35:23Z</dcterms:modified>
</cp:coreProperties>
</file>